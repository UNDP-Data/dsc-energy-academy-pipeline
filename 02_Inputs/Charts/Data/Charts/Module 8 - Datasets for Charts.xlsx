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/>
  <mc:AlternateContent xmlns:mc="http://schemas.openxmlformats.org/markup-compatibility/2006">
    <mc:Choice Requires="x15">
      <x15ac:absPath xmlns:x15ac="http://schemas.microsoft.com/office/spreadsheetml/2010/11/ac" url="https://undp.sharepoint.com/sites/SEHCoreTeam/Shared Documents/General/04. Sustainable Energy Academy/SEA Charts and Infographics/SEA - Charts/Datasets/"/>
    </mc:Choice>
  </mc:AlternateContent>
  <xr:revisionPtr revIDLastSave="356" documentId="11_E743BBC76A7034957091EFBDE4F446C86DDE5F8D" xr6:coauthVersionLast="47" xr6:coauthVersionMax="47" xr10:uidLastSave="{9B525A5B-8508-488F-AFB3-AAC732F1AF25}"/>
  <bookViews>
    <workbookView xWindow="-98" yWindow="-98" windowWidth="21795" windowHeight="12975" firstSheet="20" activeTab="18" xr2:uid="{00000000-000D-0000-FFFF-FFFF00000000}"/>
  </bookViews>
  <sheets>
    <sheet name="M8_C1_1" sheetId="5" r:id="rId1"/>
    <sheet name="M8_C1_3" sheetId="14" r:id="rId2"/>
    <sheet name="M8_C1_4" sheetId="1" r:id="rId3"/>
    <sheet name="M8_C1_5" sheetId="12" r:id="rId4"/>
    <sheet name="M8_C1_10" sheetId="4" r:id="rId5"/>
    <sheet name="M8_C2_12_1" sheetId="15" r:id="rId6"/>
    <sheet name="M8_C2_12_2" sheetId="16" r:id="rId7"/>
    <sheet name="M8_C2_13" sheetId="2" r:id="rId8"/>
    <sheet name="M8_C2_14" sheetId="3" r:id="rId9"/>
    <sheet name="M8_C3_15" sheetId="13" r:id="rId10"/>
    <sheet name="M8_C1_8_1" sheetId="6" r:id="rId11"/>
    <sheet name="M8_C1_8_2" sheetId="7" r:id="rId12"/>
    <sheet name="M8_C1_8_3" sheetId="8" r:id="rId13"/>
    <sheet name="M8_C1_8_4" sheetId="9" r:id="rId14"/>
    <sheet name="M8_C1_8_5" sheetId="10" r:id="rId15"/>
    <sheet name="M8_C1_8_6" sheetId="11" r:id="rId16"/>
    <sheet name="M8_C1_9_1" sheetId="17" r:id="rId17"/>
    <sheet name="M8_C1_9_2" sheetId="18" r:id="rId18"/>
    <sheet name="M8_C1_9_3" sheetId="19" r:id="rId19"/>
    <sheet name="M8_C1_9_4" sheetId="20" r:id="rId20"/>
    <sheet name="M8_C1_6" sheetId="21" r:id="rId21"/>
    <sheet name="M8_C1_7_1" sheetId="22" r:id="rId22"/>
    <sheet name="M8_C1_7_2" sheetId="23" r:id="rId23"/>
    <sheet name="M8_C1_7_3" sheetId="24" r:id="rId24"/>
    <sheet name="(Legacy) M8_C1_6" sheetId="25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2" i="5"/>
  <c r="I4" i="11"/>
  <c r="H4" i="11"/>
  <c r="I3" i="11"/>
  <c r="H3" i="11"/>
  <c r="I2" i="11"/>
  <c r="I4" i="10"/>
  <c r="H4" i="10"/>
  <c r="I3" i="10"/>
  <c r="H3" i="10"/>
  <c r="I2" i="10"/>
  <c r="H3" i="9"/>
  <c r="I2" i="9"/>
  <c r="I4" i="9"/>
  <c r="H4" i="9"/>
  <c r="I3" i="9"/>
  <c r="I4" i="8"/>
  <c r="H4" i="8"/>
  <c r="I3" i="8"/>
  <c r="H3" i="8"/>
  <c r="I2" i="8"/>
  <c r="I4" i="7"/>
  <c r="H4" i="7"/>
  <c r="I3" i="7"/>
  <c r="H3" i="7"/>
  <c r="I2" i="7"/>
  <c r="H3" i="6"/>
  <c r="I2" i="6"/>
  <c r="I3" i="6"/>
  <c r="I4" i="6"/>
  <c r="H4" i="6"/>
</calcChain>
</file>

<file path=xl/sharedStrings.xml><?xml version="1.0" encoding="utf-8"?>
<sst xmlns="http://schemas.openxmlformats.org/spreadsheetml/2006/main" count="240" uniqueCount="126">
  <si>
    <t>Scenario</t>
  </si>
  <si>
    <t>Year</t>
  </si>
  <si>
    <t>Coal</t>
  </si>
  <si>
    <t>Oil</t>
  </si>
  <si>
    <t>Natural Gas</t>
  </si>
  <si>
    <t>Nuclear</t>
  </si>
  <si>
    <t>Renewables</t>
  </si>
  <si>
    <t>TOTAL</t>
  </si>
  <si>
    <t>STEPS</t>
  </si>
  <si>
    <t>2030 STEPS</t>
  </si>
  <si>
    <t>2040 STEPS</t>
  </si>
  <si>
    <t>2050 STEPS</t>
  </si>
  <si>
    <t>APC</t>
  </si>
  <si>
    <t>2030 APC</t>
  </si>
  <si>
    <t>2040 APC</t>
  </si>
  <si>
    <t>2050 APC</t>
  </si>
  <si>
    <t>UN 2013</t>
  </si>
  <si>
    <t>UNDP 2024</t>
  </si>
  <si>
    <t>Min limit</t>
  </si>
  <si>
    <t>Max limit</t>
  </si>
  <si>
    <t>Urban (Million people)</t>
  </si>
  <si>
    <t>Rural  (Million people)</t>
  </si>
  <si>
    <t>Total change  (Million people)</t>
  </si>
  <si>
    <t>Default Dataset</t>
  </si>
  <si>
    <t>Dataset 1</t>
  </si>
  <si>
    <t>Dataset 2</t>
  </si>
  <si>
    <t>Dataset 3</t>
  </si>
  <si>
    <t>Dataset 4</t>
  </si>
  <si>
    <t>Dataset 5</t>
  </si>
  <si>
    <t>Dataset 6</t>
  </si>
  <si>
    <t>Dataset 7</t>
  </si>
  <si>
    <t>Dataset 8</t>
  </si>
  <si>
    <t>X</t>
  </si>
  <si>
    <t>Y</t>
  </si>
  <si>
    <t>Industry</t>
  </si>
  <si>
    <t>Transportation</t>
  </si>
  <si>
    <t>Manufacturing</t>
  </si>
  <si>
    <t>Utilities</t>
  </si>
  <si>
    <t>Finance/Banking</t>
  </si>
  <si>
    <t>Communications</t>
  </si>
  <si>
    <t>Healthcare</t>
  </si>
  <si>
    <t>Government/Military</t>
  </si>
  <si>
    <t>New wind Capacity</t>
  </si>
  <si>
    <t>Projected new wind capacity based on current growth rates</t>
  </si>
  <si>
    <t>Annual capacity gap to meet net zero by 2050 scenarios</t>
  </si>
  <si>
    <t>Cumulative wind capacity to meet net zero by 2050 scenarios (GW)</t>
  </si>
  <si>
    <t>Global Installed Capacity (GW)</t>
  </si>
  <si>
    <t>Technology</t>
  </si>
  <si>
    <t>Energy Potential (TWh)</t>
  </si>
  <si>
    <t>Salinity gradient</t>
  </si>
  <si>
    <t>Tidal stream</t>
  </si>
  <si>
    <t>OTEC</t>
  </si>
  <si>
    <t>Wave</t>
  </si>
  <si>
    <t>Technology Area</t>
  </si>
  <si>
    <t>China</t>
  </si>
  <si>
    <t>India</t>
  </si>
  <si>
    <t>Australia</t>
  </si>
  <si>
    <t>Rest of World</t>
  </si>
  <si>
    <t>UK</t>
  </si>
  <si>
    <t>Other Europe</t>
  </si>
  <si>
    <t>Canada</t>
  </si>
  <si>
    <t>US</t>
  </si>
  <si>
    <t>Other power and grids</t>
  </si>
  <si>
    <t>Mobility</t>
  </si>
  <si>
    <t>Hydrogen and fuel cells</t>
  </si>
  <si>
    <t>Fossil fuels</t>
  </si>
  <si>
    <t>Energy storage and batteries</t>
  </si>
  <si>
    <t>Energy efficiency</t>
  </si>
  <si>
    <t>Total use (Mt)</t>
  </si>
  <si>
    <t>Energy Technologies (Mt)</t>
  </si>
  <si>
    <t>Other uses (Mt)</t>
  </si>
  <si>
    <t>APS (Mt)</t>
  </si>
  <si>
    <t>NZE (Mt)</t>
  </si>
  <si>
    <t>Total increase in demand (compared to 2024)</t>
  </si>
  <si>
    <t>Share for energy technologies (%)</t>
  </si>
  <si>
    <t>Total use (Mt Li)</t>
  </si>
  <si>
    <t>Energy Technologies (Mt Li)</t>
  </si>
  <si>
    <t>Other uses (Mt Li)</t>
  </si>
  <si>
    <t>APS (Mt Li)</t>
  </si>
  <si>
    <t>NZE (Mt Li)</t>
  </si>
  <si>
    <t>Year with recycling</t>
  </si>
  <si>
    <t>Copper with recycling</t>
  </si>
  <si>
    <t>Year without recycling</t>
  </si>
  <si>
    <t>Copper without recycling</t>
  </si>
  <si>
    <t>Lithium with recycling</t>
  </si>
  <si>
    <t>Lithium without recycling</t>
  </si>
  <si>
    <t>Nickel with recycling</t>
  </si>
  <si>
    <t>Nickel without recycling</t>
  </si>
  <si>
    <t>Cobalt with recycling</t>
  </si>
  <si>
    <t>cobalt without recycling</t>
  </si>
  <si>
    <t>Gas</t>
  </si>
  <si>
    <t>Clean firm</t>
  </si>
  <si>
    <t>Hydro</t>
  </si>
  <si>
    <t>Wind onshore</t>
  </si>
  <si>
    <t>Wind offshore</t>
  </si>
  <si>
    <t>Solar</t>
  </si>
  <si>
    <t>Other</t>
  </si>
  <si>
    <t xml:space="preserve">1995 (Historical)  </t>
  </si>
  <si>
    <t xml:space="preserve">2010 (Historical)  </t>
  </si>
  <si>
    <t xml:space="preserve">2023 (Historical)  </t>
  </si>
  <si>
    <t xml:space="preserve">2030 (SE)  </t>
  </si>
  <si>
    <t xml:space="preserve">2030 (CM)  </t>
  </si>
  <si>
    <t xml:space="preserve">2030 (ST)  </t>
  </si>
  <si>
    <t xml:space="preserve">2040 (SE)  </t>
  </si>
  <si>
    <t xml:space="preserve">2040 (CM)  </t>
  </si>
  <si>
    <t xml:space="preserve">2040 (ST)  </t>
  </si>
  <si>
    <t xml:space="preserve">2050 (SE)  </t>
  </si>
  <si>
    <t xml:space="preserve">2050 (CM)  </t>
  </si>
  <si>
    <t>2050 (ST)</t>
  </si>
  <si>
    <t>Historical</t>
  </si>
  <si>
    <t>Government plans &amp; projections</t>
  </si>
  <si>
    <t>Stated policies</t>
  </si>
  <si>
    <t>Announced pledges</t>
  </si>
  <si>
    <t>2°C consistent</t>
  </si>
  <si>
    <t>1.5°C consistent</t>
  </si>
  <si>
    <t>Coal (thousand TWh)</t>
  </si>
  <si>
    <t>Gas (thousand TWh)</t>
  </si>
  <si>
    <t>Clean firm (thousand TWh)</t>
  </si>
  <si>
    <t>Hydro (thousand TWh)</t>
  </si>
  <si>
    <t>Wind onshore (thousand TWh)</t>
  </si>
  <si>
    <t>Wind offshore (thousand TWh)</t>
  </si>
  <si>
    <t>Solar (thousand TWh)</t>
  </si>
  <si>
    <t>Other (thousand TWh)</t>
  </si>
  <si>
    <t>SE</t>
  </si>
  <si>
    <t>CM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</si>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</sst>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/>
    </xf>
    <xf numFmtId="9" fontId="0" fillId="2" borderId="0" xfId="1" applyFont="1" applyFill="1" applyAlignment="1">
      <alignment horizontal="left"/>
    </xf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E635-33F4-495F-A01A-E42676537C9E}">
  <sheetPr codeName="Sheet1">
    <tabColor rgb="FF92D050"/>
  </sheetPr>
  <dimension ref="A1:H60"/>
  <sheetViews>
    <sheetView workbookViewId="0">
      <selection activeCell="F21" sqref="F21"/>
    </sheetView>
  </sheetViews>
  <sheetFormatPr defaultRowHeight="14.25"/>
  <cols>
    <col min="2" max="2" width="22.5703125" customWidth="1"/>
    <col min="8" max="8" width="11.28515625" bestFit="1" customWidth="1"/>
  </cols>
  <sheetData>
    <row r="1" spans="1:8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s="2">
        <v>2000</v>
      </c>
      <c r="C2" s="2">
        <v>95.175148711176107</v>
      </c>
      <c r="D2" s="2">
        <v>153.3377395902109</v>
      </c>
      <c r="E2" s="2">
        <v>86.186384666226985</v>
      </c>
      <c r="F2" s="2">
        <v>31.196298744215994</v>
      </c>
      <c r="G2" s="2">
        <v>57.633840052876053</v>
      </c>
      <c r="H2" s="4">
        <f>SUM(C2:G2)</f>
        <v>423.52941176470603</v>
      </c>
    </row>
    <row r="3" spans="1:8">
      <c r="B3" s="2">
        <v>2010</v>
      </c>
      <c r="C3" s="2">
        <v>149.107732980832</v>
      </c>
      <c r="D3" s="2">
        <v>173.43027098479899</v>
      </c>
      <c r="E3" s="2">
        <v>116.85393258427001</v>
      </c>
      <c r="F3" s="2">
        <v>33.840052875081994</v>
      </c>
      <c r="G3" s="2">
        <v>66.093853271646026</v>
      </c>
      <c r="H3" s="4">
        <f t="shared" ref="H3:H10" si="0">SUM(C3:G3)</f>
        <v>539.32584269662902</v>
      </c>
    </row>
    <row r="4" spans="1:8">
      <c r="B4" s="2">
        <v>2020</v>
      </c>
      <c r="C4" s="2">
        <v>152.28023793787099</v>
      </c>
      <c r="D4" s="2">
        <v>173.95902181097301</v>
      </c>
      <c r="E4" s="2">
        <v>136.41771315267601</v>
      </c>
      <c r="F4" s="2">
        <v>33.840052875082961</v>
      </c>
      <c r="G4" s="2">
        <v>86.186384666224967</v>
      </c>
      <c r="H4" s="4">
        <f t="shared" si="0"/>
        <v>582.68341044282795</v>
      </c>
    </row>
    <row r="5" spans="1:8">
      <c r="A5" s="2" t="s">
        <v>8</v>
      </c>
      <c r="B5" s="2" t="s">
        <v>9</v>
      </c>
      <c r="C5" s="2">
        <v>142.23397224058101</v>
      </c>
      <c r="D5" s="2">
        <v>202.51156642432301</v>
      </c>
      <c r="E5" s="2">
        <v>160.74025115664199</v>
      </c>
      <c r="F5" s="2">
        <v>37.012557832122013</v>
      </c>
      <c r="G5" s="2">
        <v>118.44018506278894</v>
      </c>
      <c r="H5" s="4">
        <f t="shared" si="0"/>
        <v>660.93853271645696</v>
      </c>
    </row>
    <row r="6" spans="1:8">
      <c r="A6" s="2" t="s">
        <v>8</v>
      </c>
      <c r="B6" s="2" t="s">
        <v>10</v>
      </c>
      <c r="C6" s="2">
        <v>136.41771315267599</v>
      </c>
      <c r="D6" s="2">
        <v>204.09781890284299</v>
      </c>
      <c r="E6" s="2">
        <v>180.83278255122298</v>
      </c>
      <c r="F6" s="2">
        <v>40.713813615333038</v>
      </c>
      <c r="G6" s="2">
        <v>152.28023793787202</v>
      </c>
      <c r="H6" s="4">
        <f t="shared" si="0"/>
        <v>714.34236615994701</v>
      </c>
    </row>
    <row r="7" spans="1:8">
      <c r="A7" s="2" t="s">
        <v>8</v>
      </c>
      <c r="B7" s="2" t="s">
        <v>11</v>
      </c>
      <c r="C7" s="2">
        <v>123.19894249834699</v>
      </c>
      <c r="D7" s="2">
        <v>206.74157303370799</v>
      </c>
      <c r="E7" s="2">
        <v>197.75280898876406</v>
      </c>
      <c r="F7" s="2">
        <v>41.242564441506943</v>
      </c>
      <c r="G7" s="2">
        <v>190.87904824851307</v>
      </c>
      <c r="H7" s="4">
        <f t="shared" si="0"/>
        <v>759.81493721083905</v>
      </c>
    </row>
    <row r="8" spans="1:8">
      <c r="A8" s="2" t="s">
        <v>12</v>
      </c>
      <c r="B8" s="2" t="s">
        <v>13</v>
      </c>
      <c r="C8" s="2">
        <v>114.210178453403</v>
      </c>
      <c r="D8" s="2">
        <v>179.77528089887699</v>
      </c>
      <c r="E8" s="2">
        <v>149.63648380700602</v>
      </c>
      <c r="F8" s="2">
        <v>42.30006609385299</v>
      </c>
      <c r="G8" s="2">
        <v>140.11896893588903</v>
      </c>
      <c r="H8" s="4">
        <f t="shared" si="0"/>
        <v>626.04097818902801</v>
      </c>
    </row>
    <row r="9" spans="1:8">
      <c r="A9" s="2" t="s">
        <v>12</v>
      </c>
      <c r="B9" s="2" t="s">
        <v>14</v>
      </c>
      <c r="C9" s="2">
        <v>83.542630535360203</v>
      </c>
      <c r="D9" s="2">
        <v>162.85525446133482</v>
      </c>
      <c r="E9" s="2">
        <v>151.222736285526</v>
      </c>
      <c r="F9" s="2">
        <v>48.645076007930982</v>
      </c>
      <c r="G9" s="2">
        <v>201.98281559814899</v>
      </c>
      <c r="H9" s="4">
        <f t="shared" si="0"/>
        <v>648.24851288830098</v>
      </c>
    </row>
    <row r="10" spans="1:8">
      <c r="A10" s="2" t="s">
        <v>12</v>
      </c>
      <c r="B10" s="2" t="s">
        <v>15</v>
      </c>
      <c r="C10" s="2">
        <v>74.025115664242705</v>
      </c>
      <c r="D10" s="2">
        <v>154.39524124256428</v>
      </c>
      <c r="E10" s="2">
        <v>147.52148050231398</v>
      </c>
      <c r="F10" s="2">
        <v>55.518836748182025</v>
      </c>
      <c r="G10" s="2">
        <v>249.04163912756104</v>
      </c>
      <c r="H10" s="4">
        <f t="shared" si="0"/>
        <v>680.50231328486404</v>
      </c>
    </row>
    <row r="15" spans="1:8">
      <c r="A15" s="2"/>
      <c r="B15" s="2"/>
      <c r="C15" s="2"/>
      <c r="D15" s="2"/>
      <c r="E15" s="2"/>
      <c r="F15" s="2"/>
      <c r="G15" s="2"/>
      <c r="H15" s="4"/>
    </row>
    <row r="16" spans="1:8">
      <c r="A16" s="2"/>
      <c r="B16" s="2"/>
      <c r="C16" s="2"/>
      <c r="D16" s="2"/>
      <c r="E16" s="2"/>
      <c r="F16" s="2"/>
      <c r="G16" s="2"/>
      <c r="H16" s="4"/>
    </row>
    <row r="17" spans="1:8">
      <c r="A17" s="2"/>
      <c r="B17" s="2"/>
      <c r="C17" s="2"/>
      <c r="D17" s="2"/>
      <c r="E17" s="2"/>
      <c r="F17" s="2"/>
      <c r="G17" s="2"/>
      <c r="H17" s="4"/>
    </row>
    <row r="18" spans="1:8">
      <c r="A18" s="2"/>
      <c r="B18" s="2"/>
      <c r="C18" s="2"/>
      <c r="D18" s="2"/>
      <c r="E18" s="2"/>
      <c r="F18" s="2"/>
      <c r="G18" s="2"/>
      <c r="H18" s="4"/>
    </row>
    <row r="19" spans="1:8">
      <c r="A19" s="2"/>
      <c r="B19" s="2"/>
      <c r="C19" s="2"/>
      <c r="D19" s="2"/>
      <c r="E19" s="2"/>
      <c r="F19" s="2"/>
      <c r="G19" s="2"/>
      <c r="H19" s="4"/>
    </row>
    <row r="20" spans="1:8">
      <c r="A20" s="2"/>
      <c r="B20" s="2"/>
      <c r="C20" s="2"/>
      <c r="D20" s="2"/>
      <c r="E20" s="2"/>
      <c r="F20" s="2"/>
      <c r="G20" s="2"/>
      <c r="H20" s="4"/>
    </row>
    <row r="21" spans="1:8">
      <c r="A21" s="2"/>
      <c r="B21" s="2"/>
      <c r="C21" s="2"/>
      <c r="D21" s="2"/>
      <c r="E21" s="2"/>
      <c r="F21" s="2"/>
      <c r="G21" s="2"/>
      <c r="H21" s="4"/>
    </row>
    <row r="22" spans="1:8">
      <c r="A22" s="2"/>
      <c r="B22" s="2"/>
      <c r="C22" s="2"/>
      <c r="D22" s="2"/>
      <c r="E22" s="2"/>
      <c r="F22" s="2"/>
      <c r="G22" s="2"/>
      <c r="H22" s="4"/>
    </row>
    <row r="23" spans="1:8">
      <c r="A23" s="2"/>
      <c r="B23" s="2"/>
      <c r="C23" s="2"/>
      <c r="D23" s="2"/>
      <c r="E23" s="2"/>
      <c r="F23" s="2"/>
      <c r="G23" s="2"/>
      <c r="H23" s="4"/>
    </row>
    <row r="26" spans="1:8" ht="17.649999999999999">
      <c r="A26" s="5"/>
    </row>
    <row r="27" spans="1:8">
      <c r="A27" s="6"/>
    </row>
    <row r="28" spans="1:8">
      <c r="A28" s="7"/>
    </row>
    <row r="29" spans="1:8">
      <c r="A29" s="6"/>
    </row>
    <row r="30" spans="1:8">
      <c r="A30" s="6"/>
    </row>
    <row r="31" spans="1:8">
      <c r="A31" s="8"/>
    </row>
    <row r="32" spans="1:8">
      <c r="A32" s="9"/>
    </row>
    <row r="33" spans="1:1">
      <c r="A33" s="8"/>
    </row>
    <row r="34" spans="1:1">
      <c r="A34" s="9"/>
    </row>
    <row r="35" spans="1:1">
      <c r="A35" s="8"/>
    </row>
    <row r="36" spans="1:1">
      <c r="A36" s="9"/>
    </row>
    <row r="37" spans="1:1">
      <c r="A37" s="8"/>
    </row>
    <row r="38" spans="1:1">
      <c r="A38" s="9"/>
    </row>
    <row r="39" spans="1:1">
      <c r="A39" s="6"/>
    </row>
    <row r="40" spans="1:1">
      <c r="A40" s="7"/>
    </row>
    <row r="41" spans="1:1">
      <c r="A41" s="6"/>
    </row>
    <row r="42" spans="1:1">
      <c r="A42" s="6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50" spans="1:1" ht="17.649999999999999">
      <c r="A50" s="5"/>
    </row>
    <row r="51" spans="1:1">
      <c r="A51" s="6"/>
    </row>
    <row r="52" spans="1:1">
      <c r="A52" s="7"/>
    </row>
    <row r="53" spans="1:1">
      <c r="A53" s="6"/>
    </row>
    <row r="54" spans="1:1">
      <c r="A54" s="6"/>
    </row>
    <row r="55" spans="1:1">
      <c r="A55" s="8"/>
    </row>
    <row r="56" spans="1:1">
      <c r="A56" s="9"/>
    </row>
    <row r="57" spans="1:1">
      <c r="A57" s="8"/>
    </row>
    <row r="58" spans="1:1">
      <c r="A58" s="9"/>
    </row>
    <row r="59" spans="1:1">
      <c r="A59" s="8"/>
    </row>
    <row r="60" spans="1:1">
      <c r="A6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4995-B671-440A-838A-34CD5BD45D9A}">
  <sheetPr>
    <tabColor rgb="FFFF0000"/>
  </sheetPr>
  <dimension ref="A1:H89"/>
  <sheetViews>
    <sheetView workbookViewId="0">
      <selection activeCell="K30" sqref="K30"/>
    </sheetView>
  </sheetViews>
  <sheetFormatPr defaultRowHeight="14.25"/>
  <cols>
    <col min="2" max="2" width="17.28515625" customWidth="1"/>
    <col min="4" max="4" width="19.85546875" customWidth="1"/>
  </cols>
  <sheetData>
    <row r="1" spans="1:8">
      <c r="A1" t="s">
        <v>1</v>
      </c>
      <c r="B1" t="s">
        <v>16</v>
      </c>
      <c r="C1" t="s">
        <v>1</v>
      </c>
      <c r="D1" t="s">
        <v>17</v>
      </c>
      <c r="E1" t="s">
        <v>1</v>
      </c>
      <c r="F1" t="s">
        <v>18</v>
      </c>
      <c r="G1" t="s">
        <v>1</v>
      </c>
      <c r="H1" t="s">
        <v>19</v>
      </c>
    </row>
    <row r="2" spans="1:8">
      <c r="A2">
        <v>1995.6612892861201</v>
      </c>
      <c r="B2">
        <v>5.7515124361631402</v>
      </c>
      <c r="C2">
        <v>1995.42898334297</v>
      </c>
      <c r="D2">
        <v>5.7498019884616003</v>
      </c>
      <c r="E2">
        <v>2024.0729074810799</v>
      </c>
      <c r="F2">
        <v>8.1224866077232392</v>
      </c>
      <c r="G2">
        <v>2024.1243275009001</v>
      </c>
      <c r="H2">
        <v>8.1667423992961297</v>
      </c>
    </row>
    <row r="3" spans="1:8">
      <c r="A3">
        <v>1996.73457211406</v>
      </c>
      <c r="B3">
        <v>5.8402694765513896</v>
      </c>
      <c r="C3">
        <v>1996.5999353340701</v>
      </c>
      <c r="D3">
        <v>5.8501109428804101</v>
      </c>
      <c r="E3">
        <v>2024.93826969563</v>
      </c>
      <c r="F3">
        <v>8.1736180477263805</v>
      </c>
      <c r="G3">
        <v>2025.0243083734499</v>
      </c>
      <c r="H3">
        <v>8.2423778808546402</v>
      </c>
    </row>
    <row r="4" spans="1:8">
      <c r="A4">
        <v>1997.8683946482099</v>
      </c>
      <c r="B4">
        <v>5.92160242952309</v>
      </c>
      <c r="C4">
        <v>1997.66242980999</v>
      </c>
      <c r="D4">
        <v>5.9303212523976701</v>
      </c>
      <c r="E4">
        <v>2025.6887503591599</v>
      </c>
      <c r="F4">
        <v>8.2269037197555601</v>
      </c>
      <c r="G4">
        <v>2026.03638194415</v>
      </c>
      <c r="H4">
        <v>8.2989257757698898</v>
      </c>
    </row>
    <row r="5" spans="1:8">
      <c r="A5">
        <v>1999.0022362819</v>
      </c>
      <c r="B5">
        <v>6.0053659912946804</v>
      </c>
      <c r="C5">
        <v>1998.7963448773901</v>
      </c>
      <c r="D5">
        <v>6.0234299885408102</v>
      </c>
      <c r="E5">
        <v>2026.3875711180001</v>
      </c>
      <c r="F5">
        <v>8.2687355574727093</v>
      </c>
      <c r="G5">
        <v>2026.62971326156</v>
      </c>
      <c r="H5">
        <v>8.3372811991608593</v>
      </c>
    </row>
    <row r="6" spans="1:8">
      <c r="A6">
        <v>2000.13610338166</v>
      </c>
      <c r="B6">
        <v>6.0923703647994598</v>
      </c>
      <c r="C6">
        <v>1999.9302244914199</v>
      </c>
      <c r="D6">
        <v>6.1120269272735301</v>
      </c>
      <c r="E6">
        <v>2026.9080798213399</v>
      </c>
      <c r="F6">
        <v>8.2997504017186294</v>
      </c>
      <c r="G6">
        <v>2027.16902103851</v>
      </c>
      <c r="H6">
        <v>8.3857244451963098</v>
      </c>
    </row>
    <row r="7" spans="1:8">
      <c r="A7">
        <v>2001.26995138187</v>
      </c>
      <c r="B7">
        <v>6.1769441295043404</v>
      </c>
      <c r="C7">
        <v>2001.0641186488799</v>
      </c>
      <c r="D7">
        <v>6.2024746632448098</v>
      </c>
      <c r="E7">
        <v>2027.80526046156</v>
      </c>
      <c r="F7">
        <v>8.36658000446735</v>
      </c>
      <c r="G7">
        <v>2027.9000883301401</v>
      </c>
      <c r="H7">
        <v>8.43437456020742</v>
      </c>
    </row>
    <row r="8" spans="1:8">
      <c r="A8">
        <v>2002.40383439793</v>
      </c>
      <c r="B8">
        <v>6.2659740103423598</v>
      </c>
      <c r="C8">
        <v>2002.1980398640301</v>
      </c>
      <c r="D8">
        <v>6.2963657616826101</v>
      </c>
      <c r="E8">
        <v>2028.5536701859401</v>
      </c>
      <c r="F8">
        <v>8.4096367847553903</v>
      </c>
      <c r="G8">
        <v>2028.7087432276101</v>
      </c>
      <c r="H8">
        <v>8.4967891949320897</v>
      </c>
    </row>
    <row r="9" spans="1:8">
      <c r="A9">
        <v>2003.5932258989701</v>
      </c>
      <c r="B9">
        <v>6.3598356543348498</v>
      </c>
      <c r="C9">
        <v>2003.33203017555</v>
      </c>
      <c r="D9">
        <v>6.39905006356926</v>
      </c>
      <c r="E9">
        <v>2029.3884969076901</v>
      </c>
      <c r="F9">
        <v>8.4636972808735198</v>
      </c>
      <c r="G9">
        <v>2029.4366056931799</v>
      </c>
      <c r="H9">
        <v>8.5407021142664199</v>
      </c>
    </row>
    <row r="10" spans="1:8">
      <c r="A10">
        <v>2004.5930764782699</v>
      </c>
      <c r="B10">
        <v>6.4395724844545796</v>
      </c>
      <c r="C10">
        <v>2004.4659272975</v>
      </c>
      <c r="D10">
        <v>6.4898750603685498</v>
      </c>
      <c r="E10">
        <v>2030.15031931975</v>
      </c>
      <c r="F10">
        <v>8.5001848785920195</v>
      </c>
      <c r="G10">
        <v>2030.12131388029</v>
      </c>
      <c r="H10">
        <v>8.5891485176612292</v>
      </c>
    </row>
    <row r="11" spans="1:8">
      <c r="A11">
        <v>2005.65607450633</v>
      </c>
      <c r="B11">
        <v>6.5286399773098402</v>
      </c>
      <c r="C11">
        <v>2005.59986305608</v>
      </c>
      <c r="D11">
        <v>6.5856169560449</v>
      </c>
      <c r="E11">
        <v>2030.78285724744</v>
      </c>
      <c r="F11">
        <v>8.5412488251910101</v>
      </c>
      <c r="G11">
        <v>2030.73450339633</v>
      </c>
      <c r="H11">
        <v>8.6236463291813195</v>
      </c>
    </row>
    <row r="12" spans="1:8">
      <c r="A12">
        <v>2006.65194621975</v>
      </c>
      <c r="B12">
        <v>6.6147203064341697</v>
      </c>
      <c r="C12">
        <v>2006.73381154771</v>
      </c>
      <c r="D12">
        <v>6.6829792575878404</v>
      </c>
      <c r="E12">
        <v>2031.48937186327</v>
      </c>
      <c r="F12">
        <v>8.5798287594648599</v>
      </c>
      <c r="G12">
        <v>2031.27808152888</v>
      </c>
      <c r="H12">
        <v>8.6665627816064497</v>
      </c>
    </row>
    <row r="13" spans="1:8">
      <c r="A13">
        <v>2007.68554571594</v>
      </c>
      <c r="B13">
        <v>6.6901456451982604</v>
      </c>
      <c r="C13">
        <v>2007.8677823221301</v>
      </c>
      <c r="D13">
        <v>6.7831772693973198</v>
      </c>
      <c r="E13">
        <v>2032.1392121743299</v>
      </c>
      <c r="F13">
        <v>8.6164828055976006</v>
      </c>
      <c r="G13">
        <v>2031.8203829293</v>
      </c>
      <c r="H13">
        <v>8.7042970218962701</v>
      </c>
    </row>
    <row r="14" spans="1:8">
      <c r="A14">
        <v>2008.79491897198</v>
      </c>
      <c r="B14">
        <v>6.7814687211976299</v>
      </c>
      <c r="C14">
        <v>2008.95529306604</v>
      </c>
      <c r="D14">
        <v>6.8703277265904497</v>
      </c>
      <c r="E14">
        <v>2032.82875104557</v>
      </c>
      <c r="F14">
        <v>8.6497721509161902</v>
      </c>
      <c r="G14">
        <v>2032.39311689705</v>
      </c>
      <c r="H14">
        <v>8.7434141414103905</v>
      </c>
    </row>
    <row r="15" spans="1:8">
      <c r="A15">
        <v>2009.9287406415399</v>
      </c>
      <c r="B15">
        <v>6.8626916476067601</v>
      </c>
      <c r="C15">
        <v>2009.9759393990801</v>
      </c>
      <c r="D15">
        <v>6.9697496022011096</v>
      </c>
      <c r="E15">
        <v>2033.3926534093</v>
      </c>
      <c r="F15">
        <v>8.6865416808866307</v>
      </c>
      <c r="G15">
        <v>2033.0267135510301</v>
      </c>
      <c r="H15">
        <v>8.7910598779140194</v>
      </c>
    </row>
    <row r="16" spans="1:8">
      <c r="A16">
        <v>2010.81775218443</v>
      </c>
      <c r="B16">
        <v>6.9253952634788796</v>
      </c>
      <c r="C16">
        <v>2010.98250091216</v>
      </c>
      <c r="D16">
        <v>7.05593828311933</v>
      </c>
      <c r="E16">
        <v>2034.07860315781</v>
      </c>
      <c r="F16">
        <v>8.7178694225123596</v>
      </c>
      <c r="G16">
        <v>2033.66427187882</v>
      </c>
      <c r="H16">
        <v>8.8392151845012403</v>
      </c>
    </row>
    <row r="17" spans="1:8">
      <c r="A17">
        <v>2012.40279925651</v>
      </c>
      <c r="B17">
        <v>7.0737413689553197</v>
      </c>
      <c r="C17">
        <v>2012.1344937879801</v>
      </c>
      <c r="D17">
        <v>7.1605983986436001</v>
      </c>
      <c r="E17">
        <v>2034.6539909118901</v>
      </c>
      <c r="F17">
        <v>8.7553134494241007</v>
      </c>
      <c r="G17">
        <v>2034.27919745333</v>
      </c>
      <c r="H17">
        <v>8.8857210540771892</v>
      </c>
    </row>
    <row r="18" spans="1:8">
      <c r="A18">
        <v>2013.8197793678401</v>
      </c>
      <c r="B18">
        <v>7.1897075947264097</v>
      </c>
      <c r="C18">
        <v>2013.14701620305</v>
      </c>
      <c r="D18">
        <v>7.2534961316368003</v>
      </c>
      <c r="E18">
        <v>2035.28179184898</v>
      </c>
      <c r="F18">
        <v>8.7762102872271903</v>
      </c>
      <c r="G18">
        <v>2034.98674615543</v>
      </c>
      <c r="H18">
        <v>8.9283688838825803</v>
      </c>
    </row>
    <row r="19" spans="1:8">
      <c r="A19">
        <v>2016.5260993552099</v>
      </c>
      <c r="B19">
        <v>7.4088292312506097</v>
      </c>
      <c r="C19">
        <v>2014.1562175762199</v>
      </c>
      <c r="D19">
        <v>7.3454215884381897</v>
      </c>
      <c r="E19">
        <v>2035.9692925911299</v>
      </c>
      <c r="F19">
        <v>8.8080736040210503</v>
      </c>
      <c r="G19">
        <v>2035.6494010977001</v>
      </c>
      <c r="H19">
        <v>8.9670068830931307</v>
      </c>
    </row>
    <row r="20" spans="1:8">
      <c r="A20">
        <v>2017.3296999727499</v>
      </c>
      <c r="B20">
        <v>7.46612107699554</v>
      </c>
      <c r="C20">
        <v>2015.2902024565401</v>
      </c>
      <c r="D20">
        <v>7.4474147162089501</v>
      </c>
      <c r="E20">
        <v>2036.5926910616699</v>
      </c>
      <c r="F20">
        <v>8.8383747541878996</v>
      </c>
      <c r="G20">
        <v>2036.1202588957501</v>
      </c>
      <c r="H20">
        <v>9.0112310807944898</v>
      </c>
    </row>
    <row r="21" spans="1:8">
      <c r="A21">
        <v>2018.0940967970701</v>
      </c>
      <c r="B21">
        <v>7.5288975023009996</v>
      </c>
      <c r="C21">
        <v>2016.4069046310799</v>
      </c>
      <c r="D21">
        <v>7.5349943840918403</v>
      </c>
      <c r="E21">
        <v>2037.2444596605301</v>
      </c>
      <c r="F21">
        <v>8.8769121128429909</v>
      </c>
      <c r="G21">
        <v>2036.7397114611099</v>
      </c>
      <c r="H21">
        <v>9.0553473954583392</v>
      </c>
    </row>
    <row r="22" spans="1:8">
      <c r="A22">
        <v>2020.7522978448301</v>
      </c>
      <c r="B22">
        <v>7.7288642542004</v>
      </c>
      <c r="C22">
        <v>2017.55812128505</v>
      </c>
      <c r="D22">
        <v>7.6449193482840796</v>
      </c>
      <c r="E22">
        <v>2038.2378702470901</v>
      </c>
      <c r="F22">
        <v>8.9415645777179797</v>
      </c>
      <c r="G22">
        <v>2037.5148291826499</v>
      </c>
      <c r="H22">
        <v>9.1129641897393192</v>
      </c>
    </row>
    <row r="23" spans="1:8">
      <c r="A23">
        <v>2021.4615876814901</v>
      </c>
      <c r="B23">
        <v>7.7841661255756902</v>
      </c>
      <c r="C23">
        <v>2018.69204568346</v>
      </c>
      <c r="D23">
        <v>7.7392155481885201</v>
      </c>
      <c r="E23">
        <v>2039.3766055707299</v>
      </c>
      <c r="F23">
        <v>8.9998072621997505</v>
      </c>
      <c r="G23">
        <v>2038.2938534177099</v>
      </c>
      <c r="H23">
        <v>9.1640708550563499</v>
      </c>
    </row>
    <row r="24" spans="1:8">
      <c r="A24">
        <v>2022.2613856099599</v>
      </c>
      <c r="B24">
        <v>7.8435633071445396</v>
      </c>
      <c r="C24">
        <v>2019.8259573488399</v>
      </c>
      <c r="D24">
        <v>7.8318913422263696</v>
      </c>
      <c r="E24">
        <v>2040.51011796078</v>
      </c>
      <c r="F24">
        <v>9.0416712773544496</v>
      </c>
      <c r="G24">
        <v>2039.04185709845</v>
      </c>
      <c r="H24">
        <v>9.2037679064615006</v>
      </c>
    </row>
    <row r="25" spans="1:8">
      <c r="A25">
        <v>2025.0168831169599</v>
      </c>
      <c r="B25">
        <v>8.0439032870629408</v>
      </c>
      <c r="C25">
        <v>2020.9597766997299</v>
      </c>
      <c r="D25">
        <v>7.9128191937314201</v>
      </c>
      <c r="E25">
        <v>2041.5960349688901</v>
      </c>
      <c r="F25">
        <v>9.0772710195161608</v>
      </c>
      <c r="G25">
        <v>2039.64085455747</v>
      </c>
      <c r="H25">
        <v>9.2531079054366092</v>
      </c>
    </row>
    <row r="26" spans="1:8">
      <c r="A26">
        <v>2025.7732714726401</v>
      </c>
      <c r="B26">
        <v>8.0929626891662494</v>
      </c>
      <c r="C26">
        <v>2022.09355785151</v>
      </c>
      <c r="D26">
        <v>7.9888858276367003</v>
      </c>
      <c r="E26">
        <v>2042.7058139590899</v>
      </c>
      <c r="F26">
        <v>9.1241845856977406</v>
      </c>
      <c r="G26">
        <v>2040.20703153454</v>
      </c>
      <c r="H26">
        <v>9.2933585656436399</v>
      </c>
    </row>
    <row r="27" spans="1:8">
      <c r="A27">
        <v>2026.54637860196</v>
      </c>
      <c r="B27">
        <v>8.1543104606732495</v>
      </c>
      <c r="C27">
        <v>2022.9180567983799</v>
      </c>
      <c r="D27">
        <v>8.0354052658833695</v>
      </c>
      <c r="E27">
        <v>2043.78371810879</v>
      </c>
      <c r="F27">
        <v>9.1644255446798102</v>
      </c>
      <c r="G27">
        <v>2040.7964737412101</v>
      </c>
      <c r="H27">
        <v>9.3302318095132701</v>
      </c>
    </row>
    <row r="28" spans="1:8">
      <c r="A28">
        <v>2029.5136631990199</v>
      </c>
      <c r="B28">
        <v>8.35854349439232</v>
      </c>
      <c r="C28">
        <v>2024.29538372855</v>
      </c>
      <c r="D28">
        <v>8.1401457423612502</v>
      </c>
      <c r="E28">
        <v>2044.87853541762</v>
      </c>
      <c r="F28">
        <v>9.2068719138593593</v>
      </c>
      <c r="G28">
        <v>2041.43508959407</v>
      </c>
      <c r="H28">
        <v>9.3671044788247499</v>
      </c>
    </row>
    <row r="29" spans="1:8">
      <c r="A29">
        <v>2030.3172035534201</v>
      </c>
      <c r="B29">
        <v>8.4081662529095809</v>
      </c>
      <c r="C29">
        <v>2024.86442511622</v>
      </c>
      <c r="D29">
        <v>8.1844395330908295</v>
      </c>
      <c r="E29">
        <v>2045.92083141593</v>
      </c>
      <c r="F29">
        <v>9.2590673737610398</v>
      </c>
      <c r="G29">
        <v>2042.0716902960901</v>
      </c>
      <c r="H29">
        <v>9.4053678410658605</v>
      </c>
    </row>
    <row r="30" spans="1:8">
      <c r="A30">
        <v>2031.0858774077799</v>
      </c>
      <c r="B30">
        <v>8.4602864861551605</v>
      </c>
      <c r="C30">
        <v>2025.99821226064</v>
      </c>
      <c r="D30">
        <v>8.2612687900485309</v>
      </c>
      <c r="E30">
        <v>2046.9079195192601</v>
      </c>
      <c r="F30">
        <v>9.2914649771424003</v>
      </c>
      <c r="G30">
        <v>2042.66314343213</v>
      </c>
      <c r="H30">
        <v>9.44031316803461</v>
      </c>
    </row>
    <row r="31" spans="1:8">
      <c r="A31">
        <v>2034.0486923083999</v>
      </c>
      <c r="B31">
        <v>8.6506569860139901</v>
      </c>
      <c r="C31">
        <v>2028.8963784590701</v>
      </c>
      <c r="D31">
        <v>8.4622998926675894</v>
      </c>
      <c r="E31">
        <v>2047.93827284649</v>
      </c>
      <c r="F31">
        <v>9.3258111081758805</v>
      </c>
      <c r="G31">
        <v>2043.2054052361</v>
      </c>
      <c r="H31">
        <v>9.4730083644648602</v>
      </c>
    </row>
    <row r="32" spans="1:8">
      <c r="A32">
        <v>2035.1824002452399</v>
      </c>
      <c r="B32">
        <v>8.7174062861863693</v>
      </c>
      <c r="C32">
        <v>2029.6467885930399</v>
      </c>
      <c r="D32">
        <v>8.5135118853783602</v>
      </c>
      <c r="E32">
        <v>2048.9532845952199</v>
      </c>
      <c r="F32">
        <v>9.36336955680264</v>
      </c>
      <c r="G32">
        <v>2043.6837694665401</v>
      </c>
      <c r="H32">
        <v>9.5026327130368191</v>
      </c>
    </row>
    <row r="33" spans="1:8">
      <c r="A33">
        <v>2035.9037053817101</v>
      </c>
      <c r="B33">
        <v>8.7413834799252008</v>
      </c>
      <c r="C33">
        <v>2030.42138685025</v>
      </c>
      <c r="D33">
        <v>8.5566305403742398</v>
      </c>
      <c r="E33">
        <v>2049.9923870810098</v>
      </c>
      <c r="F33">
        <v>9.3906291563017792</v>
      </c>
      <c r="G33">
        <v>2044.1758063591501</v>
      </c>
      <c r="H33">
        <v>9.5353832185825507</v>
      </c>
    </row>
    <row r="34" spans="1:8">
      <c r="A34">
        <v>2038.58361637026</v>
      </c>
      <c r="B34">
        <v>8.92940212923628</v>
      </c>
      <c r="C34">
        <v>2033.4742741221601</v>
      </c>
      <c r="D34">
        <v>8.7471518147608904</v>
      </c>
      <c r="E34">
        <v>2050.9450793416299</v>
      </c>
      <c r="F34">
        <v>9.4158828043909395</v>
      </c>
      <c r="G34">
        <v>2044.72319394547</v>
      </c>
      <c r="H34">
        <v>9.5708691597616102</v>
      </c>
    </row>
    <row r="35" spans="1:8">
      <c r="A35">
        <v>2039.71726382519</v>
      </c>
      <c r="B35">
        <v>8.9884545015423498</v>
      </c>
      <c r="C35">
        <v>2034.33153353343</v>
      </c>
      <c r="D35">
        <v>8.8049877575563702</v>
      </c>
      <c r="E35">
        <v>2051.9728865974198</v>
      </c>
      <c r="F35">
        <v>9.4435914815682604</v>
      </c>
      <c r="G35">
        <v>2045.3095192982601</v>
      </c>
      <c r="H35">
        <v>9.6027691067739394</v>
      </c>
    </row>
    <row r="36" spans="1:8">
      <c r="A36">
        <v>2040.4430291548099</v>
      </c>
      <c r="B36">
        <v>9.0250848425583801</v>
      </c>
      <c r="C36">
        <v>2035.1625198054201</v>
      </c>
      <c r="D36">
        <v>8.8577153123108303</v>
      </c>
      <c r="E36">
        <v>2052.8303119759398</v>
      </c>
      <c r="F36">
        <v>9.4676933960658101</v>
      </c>
      <c r="G36">
        <v>2045.8568844208901</v>
      </c>
      <c r="H36">
        <v>9.6353963196843395</v>
      </c>
    </row>
    <row r="37" spans="1:8">
      <c r="A37">
        <v>2043.3501786536399</v>
      </c>
      <c r="B37">
        <v>9.1891476924427007</v>
      </c>
      <c r="C37">
        <v>2037.9663379968199</v>
      </c>
      <c r="D37">
        <v>9.0339687304448493</v>
      </c>
      <c r="E37">
        <v>2053.83091956812</v>
      </c>
      <c r="F37">
        <v>9.4861907674399397</v>
      </c>
      <c r="G37">
        <v>2046.44325558125</v>
      </c>
      <c r="H37">
        <v>9.6731257390540897</v>
      </c>
    </row>
    <row r="38" spans="1:8">
      <c r="A38">
        <v>2044.2754467121899</v>
      </c>
      <c r="B38">
        <v>9.2361428882799004</v>
      </c>
      <c r="C38">
        <v>2038.86599965704</v>
      </c>
      <c r="D38">
        <v>9.0800802709035597</v>
      </c>
      <c r="E38">
        <v>2054.82686022178</v>
      </c>
      <c r="F38">
        <v>9.5100519338723597</v>
      </c>
      <c r="G38">
        <v>2047.0377311454399</v>
      </c>
      <c r="H38">
        <v>9.7010277446609496</v>
      </c>
    </row>
    <row r="39" spans="1:8">
      <c r="A39">
        <v>2045.09388626641</v>
      </c>
      <c r="B39">
        <v>9.2827147283501592</v>
      </c>
      <c r="C39">
        <v>2039.68427769661</v>
      </c>
      <c r="D39">
        <v>9.1257866776825693</v>
      </c>
      <c r="E39">
        <v>2055.9196169708798</v>
      </c>
      <c r="F39">
        <v>9.5238859759129202</v>
      </c>
      <c r="G39">
        <v>2047.57692850225</v>
      </c>
      <c r="H39">
        <v>9.7354189230933397</v>
      </c>
    </row>
    <row r="40" spans="1:8">
      <c r="A40">
        <v>2048.1385396958199</v>
      </c>
      <c r="B40">
        <v>9.4301978207028707</v>
      </c>
      <c r="C40">
        <v>2042.7071711296401</v>
      </c>
      <c r="D40">
        <v>9.2968981088634095</v>
      </c>
      <c r="E40">
        <v>2057.0935103120501</v>
      </c>
      <c r="F40">
        <v>9.54609693760362</v>
      </c>
      <c r="G40">
        <v>2048.12428570463</v>
      </c>
      <c r="H40">
        <v>9.7670382049736197</v>
      </c>
    </row>
    <row r="41" spans="1:8">
      <c r="A41">
        <v>2048.9925804110198</v>
      </c>
      <c r="B41">
        <v>9.47405714307971</v>
      </c>
      <c r="C41">
        <v>2043.6068429828299</v>
      </c>
      <c r="D41">
        <v>9.3443068078896001</v>
      </c>
      <c r="E41">
        <v>2058.20812074783</v>
      </c>
      <c r="F41">
        <v>9.5629804697320608</v>
      </c>
      <c r="G41">
        <v>2048.7106414413602</v>
      </c>
      <c r="H41">
        <v>9.8028048112847301</v>
      </c>
    </row>
    <row r="42" spans="1:8">
      <c r="A42">
        <v>2049.9458557580001</v>
      </c>
      <c r="B42">
        <v>9.5212836746386404</v>
      </c>
      <c r="C42">
        <v>2044.4940263926301</v>
      </c>
      <c r="D42">
        <v>9.38415546067076</v>
      </c>
      <c r="E42">
        <v>2059.3196764120498</v>
      </c>
      <c r="F42">
        <v>9.5886822332837909</v>
      </c>
      <c r="G42">
        <v>2049.27675186428</v>
      </c>
      <c r="H42">
        <v>9.8345857911323797</v>
      </c>
    </row>
    <row r="43" spans="1:8">
      <c r="A43">
        <v>2053.1410291298998</v>
      </c>
      <c r="B43">
        <v>9.6618018957363407</v>
      </c>
      <c r="C43">
        <v>2047.65388150082</v>
      </c>
      <c r="D43">
        <v>9.5399607078117601</v>
      </c>
      <c r="E43">
        <v>2060.3282196912801</v>
      </c>
      <c r="F43">
        <v>9.6044216332706807</v>
      </c>
      <c r="G43">
        <v>2049.8661932612799</v>
      </c>
      <c r="H43">
        <v>9.8713559967052795</v>
      </c>
    </row>
    <row r="44" spans="1:8">
      <c r="A44">
        <v>2054.0421589272801</v>
      </c>
      <c r="B44">
        <v>9.69821781558535</v>
      </c>
      <c r="C44">
        <v>2048.6953892704701</v>
      </c>
      <c r="D44">
        <v>9.5827835424327308</v>
      </c>
      <c r="E44">
        <v>2061.32522049822</v>
      </c>
      <c r="F44">
        <v>9.6183264782282301</v>
      </c>
      <c r="G44">
        <v>2050.97805398019</v>
      </c>
      <c r="H44">
        <v>9.9358790196168005</v>
      </c>
    </row>
    <row r="45" spans="1:8">
      <c r="A45">
        <v>2054.99341321785</v>
      </c>
      <c r="B45">
        <v>9.7403582116800198</v>
      </c>
      <c r="C45">
        <v>2049.6164202301202</v>
      </c>
      <c r="D45">
        <v>9.6234337398333007</v>
      </c>
      <c r="E45">
        <v>2062.2313849011898</v>
      </c>
      <c r="F45">
        <v>9.6219008923748</v>
      </c>
      <c r="G45">
        <v>2052.13352509694</v>
      </c>
      <c r="H45">
        <v>9.9941599183305208</v>
      </c>
    </row>
    <row r="46" spans="1:8">
      <c r="A46">
        <v>2058.24628272781</v>
      </c>
      <c r="B46">
        <v>9.8612713924715791</v>
      </c>
      <c r="C46">
        <v>2052.8358007879301</v>
      </c>
      <c r="D46">
        <v>9.7502195062983805</v>
      </c>
      <c r="E46">
        <v>2062.9770700651802</v>
      </c>
      <c r="F46">
        <v>9.6237796272335903</v>
      </c>
      <c r="G46">
        <v>2053.24523974977</v>
      </c>
      <c r="H46">
        <v>10.0400945710867</v>
      </c>
    </row>
    <row r="47" spans="1:8">
      <c r="A47">
        <v>2059.19454890725</v>
      </c>
      <c r="B47">
        <v>9.8962632942681008</v>
      </c>
      <c r="C47">
        <v>2053.70632113695</v>
      </c>
      <c r="D47">
        <v>9.7788694978664292</v>
      </c>
      <c r="E47">
        <v>2063.6865296589199</v>
      </c>
      <c r="F47">
        <v>9.6262560582521495</v>
      </c>
      <c r="G47">
        <v>2054.4006608438799</v>
      </c>
      <c r="H47">
        <v>10.0920095896102</v>
      </c>
    </row>
    <row r="48" spans="1:8">
      <c r="A48">
        <v>2060.1457613212301</v>
      </c>
      <c r="B48">
        <v>9.9330744738000192</v>
      </c>
      <c r="C48">
        <v>2054.61375960123</v>
      </c>
      <c r="D48">
        <v>9.8152167387621105</v>
      </c>
      <c r="E48">
        <v>2064.4463238847202</v>
      </c>
      <c r="F48">
        <v>9.6321414862051</v>
      </c>
      <c r="G48">
        <v>2055.45330295658</v>
      </c>
      <c r="H48">
        <v>10.1518347381729</v>
      </c>
    </row>
    <row r="49" spans="1:8">
      <c r="A49">
        <v>2063.5225202269298</v>
      </c>
      <c r="B49">
        <v>10.058006602510799</v>
      </c>
      <c r="C49">
        <v>2058.10529203651</v>
      </c>
      <c r="D49">
        <v>9.9187960178379999</v>
      </c>
      <c r="E49">
        <v>2065.1745133762902</v>
      </c>
      <c r="F49">
        <v>9.6306205922126207</v>
      </c>
      <c r="G49">
        <v>2056.6679129382801</v>
      </c>
      <c r="H49">
        <v>10.204665638798399</v>
      </c>
    </row>
    <row r="50" spans="1:8">
      <c r="A50">
        <v>2064.5145119972799</v>
      </c>
      <c r="B50">
        <v>10.089956555677499</v>
      </c>
      <c r="C50">
        <v>2059.0643481552402</v>
      </c>
      <c r="D50">
        <v>9.9469259021921399</v>
      </c>
      <c r="E50">
        <v>2066.09462223839</v>
      </c>
      <c r="F50">
        <v>9.6361568944774501</v>
      </c>
      <c r="G50">
        <v>2057.7796009123699</v>
      </c>
      <c r="H50">
        <v>10.2472051554532</v>
      </c>
    </row>
    <row r="51" spans="1:8">
      <c r="A51">
        <v>2065.5362750719901</v>
      </c>
      <c r="B51">
        <v>10.1304068357143</v>
      </c>
      <c r="C51">
        <v>2059.95662160241</v>
      </c>
      <c r="D51">
        <v>9.9752043019246805</v>
      </c>
      <c r="E51">
        <v>2067.2278690403</v>
      </c>
      <c r="F51">
        <v>9.6442221632631497</v>
      </c>
      <c r="G51">
        <v>2058.9349466021799</v>
      </c>
      <c r="H51">
        <v>10.289524222506801</v>
      </c>
    </row>
    <row r="52" spans="1:8">
      <c r="A52">
        <v>2069.0082659699801</v>
      </c>
      <c r="B52">
        <v>10.227795033224</v>
      </c>
      <c r="C52">
        <v>2063.5225138604101</v>
      </c>
      <c r="D52">
        <v>10.057196399577499</v>
      </c>
      <c r="E52">
        <v>2068.36108379085</v>
      </c>
      <c r="F52">
        <v>9.6482085767437304</v>
      </c>
      <c r="G52">
        <v>2060.0466349466201</v>
      </c>
      <c r="H52">
        <v>10.332110870346201</v>
      </c>
    </row>
    <row r="53" spans="1:8">
      <c r="A53">
        <v>2069.9285431133098</v>
      </c>
      <c r="B53">
        <v>10.2547468056152</v>
      </c>
      <c r="C53">
        <v>2064.5144415280602</v>
      </c>
      <c r="D53">
        <v>10.080988642134001</v>
      </c>
      <c r="E53">
        <v>2069.49429854141</v>
      </c>
      <c r="F53">
        <v>9.6521949902243094</v>
      </c>
      <c r="G53">
        <v>2061.2206886621302</v>
      </c>
      <c r="H53">
        <v>10.3747310699605</v>
      </c>
    </row>
    <row r="54" spans="1:8">
      <c r="A54">
        <v>2070.8103364214699</v>
      </c>
      <c r="B54">
        <v>10.2815564554046</v>
      </c>
      <c r="C54">
        <v>2065.5317128302199</v>
      </c>
      <c r="D54">
        <v>10.104766981587399</v>
      </c>
      <c r="E54">
        <v>2070.62748124061</v>
      </c>
      <c r="F54">
        <v>9.6521025483997693</v>
      </c>
      <c r="G54">
        <v>2062.3136647193201</v>
      </c>
      <c r="H54">
        <v>10.416474259589499</v>
      </c>
    </row>
    <row r="55" spans="1:8">
      <c r="A55">
        <v>2074.3417630317099</v>
      </c>
      <c r="B55">
        <v>10.3751288545952</v>
      </c>
      <c r="C55">
        <v>2069.0863094873598</v>
      </c>
      <c r="D55">
        <v>10.171116241674</v>
      </c>
      <c r="E55">
        <v>2071.76063188846</v>
      </c>
      <c r="F55">
        <v>9.6479312512700997</v>
      </c>
      <c r="G55">
        <v>2063.4877874713602</v>
      </c>
      <c r="H55">
        <v>10.467880047963501</v>
      </c>
    </row>
    <row r="56" spans="1:8">
      <c r="A56">
        <v>2075.4751526426999</v>
      </c>
      <c r="B56">
        <v>10.4013680081028</v>
      </c>
      <c r="C56">
        <v>2070.0781513792999</v>
      </c>
      <c r="D56">
        <v>10.183992667452699</v>
      </c>
      <c r="E56">
        <v>2072.8466670459802</v>
      </c>
      <c r="F56">
        <v>9.6478426556080308</v>
      </c>
      <c r="G56">
        <v>2064.48647092176</v>
      </c>
      <c r="H56">
        <v>10.5099460981628</v>
      </c>
    </row>
    <row r="57" spans="1:8">
      <c r="A57">
        <v>2076.35091955807</v>
      </c>
      <c r="B57">
        <v>10.4172980837164</v>
      </c>
      <c r="C57">
        <v>2071.0953449569001</v>
      </c>
      <c r="D57">
        <v>10.197879779428799</v>
      </c>
      <c r="E57">
        <v>2073.8383750687899</v>
      </c>
      <c r="F57">
        <v>9.6436828969657906</v>
      </c>
      <c r="G57">
        <v>2065.57554448475</v>
      </c>
      <c r="H57">
        <v>10.549667632161899</v>
      </c>
    </row>
    <row r="58" spans="1:8">
      <c r="A58">
        <v>2079.8026587691102</v>
      </c>
      <c r="B58">
        <v>10.503910820937699</v>
      </c>
      <c r="C58">
        <v>2074.6497405382102</v>
      </c>
      <c r="D58">
        <v>10.2386401302054</v>
      </c>
      <c r="E58">
        <v>2074.7390926437902</v>
      </c>
      <c r="F58">
        <v>9.6276393965765497</v>
      </c>
      <c r="G58">
        <v>2066.6591085303298</v>
      </c>
      <c r="H58">
        <v>10.5819626801787</v>
      </c>
    </row>
    <row r="59" spans="1:8">
      <c r="A59">
        <v>2080.93601654752</v>
      </c>
      <c r="B59">
        <v>10.5260989597788</v>
      </c>
      <c r="C59">
        <v>2075.6886884172</v>
      </c>
      <c r="D59">
        <v>10.2462244679335</v>
      </c>
      <c r="E59">
        <v>2075.72752689253</v>
      </c>
      <c r="F59">
        <v>9.6212481903801308</v>
      </c>
      <c r="G59">
        <v>2067.8144005660502</v>
      </c>
      <c r="H59">
        <v>10.617453727811601</v>
      </c>
    </row>
    <row r="60" spans="1:8">
      <c r="A60">
        <v>2081.81184438233</v>
      </c>
      <c r="B60">
        <v>10.549781644536001</v>
      </c>
      <c r="C60">
        <v>2076.6586504550501</v>
      </c>
      <c r="D60">
        <v>10.2494258312952</v>
      </c>
      <c r="E60">
        <v>2076.9111807795298</v>
      </c>
      <c r="F60">
        <v>9.6116797557360201</v>
      </c>
      <c r="G60">
        <v>2068.8064627859699</v>
      </c>
      <c r="H60">
        <v>10.658369092899299</v>
      </c>
    </row>
    <row r="61" spans="1:8">
      <c r="A61">
        <v>2085.2633567069502</v>
      </c>
      <c r="B61">
        <v>10.6075208150707</v>
      </c>
      <c r="C61">
        <v>2080.3159528229698</v>
      </c>
      <c r="D61">
        <v>10.2762017776703</v>
      </c>
      <c r="E61">
        <v>2078.0442104635499</v>
      </c>
      <c r="F61">
        <v>9.5921146028737194</v>
      </c>
      <c r="G61">
        <v>2069.97367056546</v>
      </c>
      <c r="H61">
        <v>10.691173802344901</v>
      </c>
    </row>
    <row r="62" spans="1:8">
      <c r="A62">
        <v>2086.3967626717799</v>
      </c>
      <c r="B62">
        <v>10.6358411571888</v>
      </c>
      <c r="C62">
        <v>2081.4491737212702</v>
      </c>
      <c r="D62">
        <v>10.2809705534456</v>
      </c>
      <c r="E62">
        <v>2079.1773458514199</v>
      </c>
      <c r="F62">
        <v>9.5860013203267496</v>
      </c>
      <c r="G62">
        <v>2071.0515444441598</v>
      </c>
      <c r="H62">
        <v>10.7276661061818</v>
      </c>
    </row>
    <row r="63" spans="1:8">
      <c r="A63">
        <v>2087.27252428171</v>
      </c>
      <c r="B63">
        <v>10.6510960636913</v>
      </c>
      <c r="C63">
        <v>2082.3248148979201</v>
      </c>
      <c r="D63">
        <v>10.2808991211266</v>
      </c>
      <c r="E63">
        <v>2080.3104171365699</v>
      </c>
      <c r="F63">
        <v>9.5717303271695293</v>
      </c>
      <c r="G63">
        <v>2072.1463158634301</v>
      </c>
      <c r="H63">
        <v>10.764168937657001</v>
      </c>
    </row>
    <row r="64" spans="1:8">
      <c r="A64">
        <v>2090.8271198777702</v>
      </c>
      <c r="B64">
        <v>10.7173102899557</v>
      </c>
      <c r="C64">
        <v>2085.9819045180702</v>
      </c>
      <c r="D64">
        <v>10.280600786147399</v>
      </c>
      <c r="E64">
        <v>2081.4434629556599</v>
      </c>
      <c r="F64">
        <v>9.5542185222791201</v>
      </c>
      <c r="G64">
        <v>2073.2931592868099</v>
      </c>
      <c r="H64">
        <v>10.7996748209132</v>
      </c>
    </row>
    <row r="65" spans="1:8">
      <c r="A65">
        <v>2091.9604267240502</v>
      </c>
      <c r="B65">
        <v>10.733016805330401</v>
      </c>
      <c r="C65">
        <v>2087.1150872172698</v>
      </c>
      <c r="D65">
        <v>10.2805083443229</v>
      </c>
      <c r="E65">
        <v>2082.57650877475</v>
      </c>
      <c r="F65">
        <v>9.5367067173887108</v>
      </c>
      <c r="G65">
        <v>2074.4520135145599</v>
      </c>
      <c r="H65">
        <v>10.8445917786599</v>
      </c>
    </row>
    <row r="66" spans="1:8">
      <c r="A66">
        <v>2092.83616817334</v>
      </c>
      <c r="B66">
        <v>10.7457060692109</v>
      </c>
      <c r="C66">
        <v>2087.99069921406</v>
      </c>
      <c r="D66">
        <v>10.276723481892899</v>
      </c>
      <c r="E66">
        <v>2083.7095514105799</v>
      </c>
      <c r="F66">
        <v>9.5187898110316596</v>
      </c>
      <c r="G66">
        <v>2075.67313160602</v>
      </c>
      <c r="H66">
        <v>10.876624461403599</v>
      </c>
    </row>
    <row r="67" spans="1:8">
      <c r="A67">
        <v>2096.39067251599</v>
      </c>
      <c r="B67">
        <v>10.8003073867647</v>
      </c>
      <c r="C67">
        <v>2091.6476365683502</v>
      </c>
      <c r="D67">
        <v>10.2570477934257</v>
      </c>
      <c r="E67">
        <v>2084.8425781301198</v>
      </c>
      <c r="F67">
        <v>9.4988473973413594</v>
      </c>
      <c r="G67">
        <v>2076.90092637409</v>
      </c>
      <c r="H67">
        <v>10.916863904880399</v>
      </c>
    </row>
    <row r="68" spans="1:8">
      <c r="A68">
        <v>2097.5239475296798</v>
      </c>
      <c r="B68">
        <v>10.811962887472999</v>
      </c>
      <c r="C68">
        <v>2092.78077151867</v>
      </c>
      <c r="D68">
        <v>10.250878829601501</v>
      </c>
      <c r="E68">
        <v>2085.9329342808801</v>
      </c>
      <c r="F68">
        <v>9.4762871390150796</v>
      </c>
      <c r="G68">
        <v>2078.2042791402</v>
      </c>
      <c r="H68">
        <v>10.9530963951442</v>
      </c>
    </row>
    <row r="69" spans="1:8">
      <c r="A69">
        <v>2098.3996720015998</v>
      </c>
      <c r="B69">
        <v>10.822491610198</v>
      </c>
      <c r="C69">
        <v>2093.65638510709</v>
      </c>
      <c r="D69">
        <v>10.2472965179049</v>
      </c>
      <c r="E69">
        <v>2087.1644367526001</v>
      </c>
      <c r="F69">
        <v>9.45082814234941</v>
      </c>
      <c r="G69">
        <v>2079.3509527985402</v>
      </c>
      <c r="H69">
        <v>10.979376041206701</v>
      </c>
    </row>
    <row r="70" spans="1:8">
      <c r="C70">
        <v>2097.3131871728901</v>
      </c>
      <c r="D70">
        <v>10.2104040171052</v>
      </c>
      <c r="E70">
        <v>2088.3445662294298</v>
      </c>
      <c r="F70">
        <v>9.4251826213249199</v>
      </c>
      <c r="G70">
        <v>2080.50487092201</v>
      </c>
      <c r="H70">
        <v>11.011426497646999</v>
      </c>
    </row>
    <row r="71" spans="1:8">
      <c r="C71">
        <v>2098.4462648245599</v>
      </c>
      <c r="D71">
        <v>10.196943226881199</v>
      </c>
      <c r="E71">
        <v>2089.47749701367</v>
      </c>
      <c r="F71">
        <v>9.3930314823579</v>
      </c>
      <c r="G71">
        <v>2081.5827022809199</v>
      </c>
      <c r="H71">
        <v>11.042507732872</v>
      </c>
    </row>
    <row r="72" spans="1:8">
      <c r="C72">
        <v>2099.2703327582399</v>
      </c>
      <c r="D72">
        <v>10.1886119265438</v>
      </c>
      <c r="E72">
        <v>2090.6690373640499</v>
      </c>
      <c r="F72">
        <v>9.3626706793010097</v>
      </c>
      <c r="G72">
        <v>2082.7378962354101</v>
      </c>
      <c r="H72">
        <v>11.065516963348699</v>
      </c>
    </row>
    <row r="73" spans="1:8">
      <c r="E73">
        <v>2091.8079462106798</v>
      </c>
      <c r="F73">
        <v>9.3283466744788104</v>
      </c>
      <c r="G73">
        <v>2083.89933384813</v>
      </c>
      <c r="H73">
        <v>11.0923381418433</v>
      </c>
    </row>
    <row r="74" spans="1:8">
      <c r="E74">
        <v>2092.99657874779</v>
      </c>
      <c r="F74">
        <v>9.2923087666437496</v>
      </c>
      <c r="G74">
        <v>2085.0431910118</v>
      </c>
      <c r="H74">
        <v>11.122550714271201</v>
      </c>
    </row>
    <row r="75" spans="1:8">
      <c r="E75">
        <v>2094.1342616902698</v>
      </c>
      <c r="F75">
        <v>9.2580464609610207</v>
      </c>
      <c r="G75">
        <v>2086.1380401394299</v>
      </c>
      <c r="H75">
        <v>11.141061962923599</v>
      </c>
    </row>
    <row r="76" spans="1:8">
      <c r="E76">
        <v>2095.34810566533</v>
      </c>
      <c r="F76">
        <v>9.2222706464453399</v>
      </c>
      <c r="G76">
        <v>2087.2901087412902</v>
      </c>
      <c r="H76">
        <v>11.1639072755528</v>
      </c>
    </row>
    <row r="77" spans="1:8">
      <c r="E77">
        <v>2096.4104035176601</v>
      </c>
      <c r="F77">
        <v>9.1883149207366799</v>
      </c>
      <c r="G77">
        <v>2088.4432476187098</v>
      </c>
      <c r="H77">
        <v>11.186986283187901</v>
      </c>
    </row>
    <row r="78" spans="1:8">
      <c r="E78">
        <v>2097.28732624738</v>
      </c>
      <c r="F78">
        <v>9.1571970822773991</v>
      </c>
      <c r="G78">
        <v>2089.5381554936898</v>
      </c>
      <c r="H78">
        <v>11.2129737188066</v>
      </c>
    </row>
    <row r="79" spans="1:8">
      <c r="E79">
        <v>2098.3226535328499</v>
      </c>
      <c r="F79">
        <v>9.1184137309441002</v>
      </c>
      <c r="G79">
        <v>2090.67155003874</v>
      </c>
      <c r="H79">
        <v>11.239840779587499</v>
      </c>
    </row>
    <row r="80" spans="1:8">
      <c r="E80">
        <v>2099.27467836498</v>
      </c>
      <c r="F80">
        <v>9.0854858531188007</v>
      </c>
      <c r="G80">
        <v>2091.8387540291101</v>
      </c>
      <c r="H80">
        <v>11.2721632855853</v>
      </c>
    </row>
    <row r="81" spans="5:8">
      <c r="E81">
        <v>2100.0471493943201</v>
      </c>
      <c r="F81">
        <v>9.0571784278252192</v>
      </c>
      <c r="G81">
        <v>2092.9164881223401</v>
      </c>
      <c r="H81">
        <v>11.2908664908907</v>
      </c>
    </row>
    <row r="82" spans="5:8">
      <c r="E82">
        <v>2100.9329179712399</v>
      </c>
      <c r="F82">
        <v>9.0197982086066304</v>
      </c>
      <c r="G82">
        <v>2093.9345264661301</v>
      </c>
      <c r="H82">
        <v>11.3084189706129</v>
      </c>
    </row>
    <row r="83" spans="5:8">
      <c r="G83">
        <v>2094.9945357000302</v>
      </c>
      <c r="H83">
        <v>11.3253557433772</v>
      </c>
    </row>
    <row r="84" spans="5:8">
      <c r="G84">
        <v>2096.0420290554198</v>
      </c>
      <c r="H84">
        <v>11.345252165701901</v>
      </c>
    </row>
    <row r="85" spans="5:8">
      <c r="G85">
        <v>2096.8500558701999</v>
      </c>
      <c r="H85">
        <v>11.366022431724099</v>
      </c>
    </row>
    <row r="86" spans="5:8">
      <c r="G86">
        <v>2097.7249937605902</v>
      </c>
      <c r="H86">
        <v>11.3838309339807</v>
      </c>
    </row>
    <row r="87" spans="5:8">
      <c r="G87">
        <v>2098.6375805930702</v>
      </c>
      <c r="H87">
        <v>11.408666631507099</v>
      </c>
    </row>
    <row r="88" spans="5:8">
      <c r="G88">
        <v>2099.7166403514502</v>
      </c>
      <c r="H88">
        <v>11.4247027144086</v>
      </c>
    </row>
    <row r="89" spans="5:8">
      <c r="G89">
        <v>2100.8411897872802</v>
      </c>
      <c r="H89">
        <v>11.430438420736801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8"/>
  <sheetViews>
    <sheetView workbookViewId="0">
      <selection activeCell="H19" sqref="H19"/>
    </sheetView>
  </sheetViews>
  <sheetFormatPr defaultRowHeight="14.25"/>
  <cols>
    <col min="1" max="1" width="35.28515625" customWidth="1"/>
    <col min="2" max="2" width="31.42578125" customWidth="1"/>
    <col min="3" max="3" width="38.42578125" customWidth="1"/>
  </cols>
  <sheetData>
    <row r="1" spans="1:3">
      <c r="A1" t="s">
        <v>20</v>
      </c>
      <c r="B1" t="s">
        <v>21</v>
      </c>
      <c r="C1" t="s">
        <v>22</v>
      </c>
    </row>
    <row r="2" spans="1:3">
      <c r="A2">
        <v>806.39250814332195</v>
      </c>
      <c r="B2">
        <v>217.426710097718</v>
      </c>
      <c r="C2">
        <v>1023.8192182410399</v>
      </c>
    </row>
    <row r="3" spans="1:3">
      <c r="A3">
        <v>833.87622149837102</v>
      </c>
      <c r="B3">
        <v>-418.159609120521</v>
      </c>
      <c r="C3">
        <v>415.71661237785003</v>
      </c>
    </row>
    <row r="4" spans="1:3">
      <c r="A4">
        <v>97.312703583061904</v>
      </c>
      <c r="B4">
        <v>0</v>
      </c>
      <c r="C4">
        <v>97.312703583061904</v>
      </c>
    </row>
    <row r="5" spans="1:3">
      <c r="A5">
        <v>89.983713355048707</v>
      </c>
      <c r="B5">
        <v>-22.394136807817802</v>
      </c>
      <c r="C5">
        <v>67.589576547230905</v>
      </c>
    </row>
    <row r="6" spans="1:3">
      <c r="A6">
        <v>80.822475570032793</v>
      </c>
      <c r="B6">
        <v>-24.226384364821399</v>
      </c>
      <c r="C6">
        <v>56.596091205211394</v>
      </c>
    </row>
    <row r="7" spans="1:3">
      <c r="A7">
        <v>29.519543973941602</v>
      </c>
      <c r="B7">
        <v>-14.4543973941371</v>
      </c>
      <c r="C7">
        <v>15.065146579804502</v>
      </c>
    </row>
    <row r="8" spans="1:3">
      <c r="A8">
        <v>44.7882736156349</v>
      </c>
      <c r="B8">
        <v>-57.817589576547597</v>
      </c>
      <c r="C8">
        <v>-13.029315960912697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DE6D-9716-43DC-B945-FDEA5DEE530F}">
  <sheetPr>
    <tabColor rgb="FFFF0000"/>
  </sheetPr>
  <dimension ref="A1:R120"/>
  <sheetViews>
    <sheetView topLeftCell="A106" workbookViewId="0">
      <selection activeCell="K14" sqref="K14"/>
    </sheetView>
  </sheetViews>
  <sheetFormatPr defaultRowHeight="14.25"/>
  <sheetData>
    <row r="1" spans="1:18">
      <c r="A1" t="s">
        <v>23</v>
      </c>
      <c r="C1" t="s">
        <v>24</v>
      </c>
      <c r="E1" t="s">
        <v>25</v>
      </c>
      <c r="G1" t="s">
        <v>26</v>
      </c>
      <c r="I1" t="s">
        <v>27</v>
      </c>
      <c r="K1" t="s">
        <v>28</v>
      </c>
      <c r="M1" t="s">
        <v>29</v>
      </c>
      <c r="O1" t="s">
        <v>30</v>
      </c>
      <c r="Q1" t="s">
        <v>31</v>
      </c>
    </row>
    <row r="2" spans="1:18">
      <c r="A2" t="s">
        <v>32</v>
      </c>
      <c r="B2" t="s">
        <v>33</v>
      </c>
      <c r="C2" t="s">
        <v>32</v>
      </c>
      <c r="D2" t="s">
        <v>33</v>
      </c>
      <c r="E2" t="s">
        <v>32</v>
      </c>
      <c r="F2" t="s">
        <v>33</v>
      </c>
      <c r="G2" t="s">
        <v>32</v>
      </c>
      <c r="H2" t="s">
        <v>33</v>
      </c>
      <c r="I2" t="s">
        <v>32</v>
      </c>
      <c r="J2" t="s">
        <v>33</v>
      </c>
      <c r="K2" t="s">
        <v>32</v>
      </c>
      <c r="L2" t="s">
        <v>33</v>
      </c>
      <c r="M2" t="s">
        <v>32</v>
      </c>
      <c r="N2" t="s">
        <v>33</v>
      </c>
      <c r="O2" t="s">
        <v>32</v>
      </c>
      <c r="P2" t="s">
        <v>33</v>
      </c>
      <c r="Q2" t="s">
        <v>32</v>
      </c>
      <c r="R2" t="s">
        <v>33</v>
      </c>
    </row>
    <row r="3" spans="1:18">
      <c r="A3">
        <v>2022.0418795978201</v>
      </c>
      <c r="B3">
        <v>79.375700298789894</v>
      </c>
      <c r="C3">
        <v>2020.07472835564</v>
      </c>
      <c r="D3">
        <v>19.686160060642301</v>
      </c>
      <c r="E3">
        <v>2020.03706316594</v>
      </c>
      <c r="F3">
        <v>17.560759316345099</v>
      </c>
      <c r="G3">
        <v>2020.0344217010299</v>
      </c>
      <c r="H3">
        <v>16.764809550250298</v>
      </c>
      <c r="I3">
        <v>2021.96180484658</v>
      </c>
      <c r="J3">
        <v>11.6850085209757</v>
      </c>
      <c r="K3">
        <v>2020.03577965507</v>
      </c>
      <c r="L3">
        <v>18.8040770038094</v>
      </c>
      <c r="M3">
        <v>2020.0370555950201</v>
      </c>
      <c r="N3">
        <v>19.041631082202599</v>
      </c>
      <c r="O3">
        <v>2020.0415214412701</v>
      </c>
      <c r="P3">
        <v>19.862027822429098</v>
      </c>
      <c r="Q3">
        <v>2020.01300451667</v>
      </c>
      <c r="R3">
        <v>3.0820397295080899</v>
      </c>
    </row>
    <row r="4" spans="1:18">
      <c r="A4">
        <v>2022.1331400041699</v>
      </c>
      <c r="B4">
        <v>90.355821613282203</v>
      </c>
      <c r="C4">
        <v>2020.16603942908</v>
      </c>
      <c r="D4">
        <v>20.7557977319495</v>
      </c>
      <c r="E4">
        <v>2020.1328374525899</v>
      </c>
      <c r="F4">
        <v>19.965815998121698</v>
      </c>
      <c r="G4">
        <v>2020.1251051255399</v>
      </c>
      <c r="H4">
        <v>16.886450827259601</v>
      </c>
      <c r="I4">
        <v>2022.05697525706</v>
      </c>
      <c r="J4">
        <v>13.3743468094912</v>
      </c>
      <c r="K4">
        <v>2020.1328324056001</v>
      </c>
      <c r="L4">
        <v>20.953008004509901</v>
      </c>
      <c r="M4">
        <v>2020.12508829435</v>
      </c>
      <c r="N4">
        <v>20.1786328207405</v>
      </c>
      <c r="O4">
        <v>2020.1328356721599</v>
      </c>
      <c r="P4">
        <v>20.314068220583799</v>
      </c>
      <c r="Q4">
        <v>2020.14796502067</v>
      </c>
      <c r="R4">
        <v>4.1041391337093902</v>
      </c>
    </row>
    <row r="5" spans="1:18">
      <c r="A5">
        <v>2022.22439989289</v>
      </c>
      <c r="B5">
        <v>101.437188382389</v>
      </c>
      <c r="C5">
        <v>2020.25735091661</v>
      </c>
      <c r="D5">
        <v>21.744439039564099</v>
      </c>
      <c r="E5">
        <v>2020.2241465188299</v>
      </c>
      <c r="F5">
        <v>21.4280610434365</v>
      </c>
      <c r="G5">
        <v>2020.2189802543101</v>
      </c>
      <c r="H5">
        <v>17.090560564448399</v>
      </c>
      <c r="I5">
        <v>2022.14960380972</v>
      </c>
      <c r="J5">
        <v>16.097862211764401</v>
      </c>
      <c r="K5">
        <v>2020.2241469108999</v>
      </c>
      <c r="L5">
        <v>21.351372241011401</v>
      </c>
      <c r="M5">
        <v>2020.2189607958401</v>
      </c>
      <c r="N5">
        <v>20.896636431818902</v>
      </c>
      <c r="O5">
        <v>2020.22415078114</v>
      </c>
      <c r="P5">
        <v>20.594352936801801</v>
      </c>
      <c r="Q5">
        <v>2020.2330534340199</v>
      </c>
      <c r="R5">
        <v>4.4954800922481502</v>
      </c>
    </row>
    <row r="6" spans="1:18">
      <c r="A6">
        <v>2022.3156597816201</v>
      </c>
      <c r="B6">
        <v>112.518555151496</v>
      </c>
      <c r="C6">
        <v>2020.3486656848299</v>
      </c>
      <c r="D6">
        <v>22.0913770134039</v>
      </c>
      <c r="E6">
        <v>2020.3154594630801</v>
      </c>
      <c r="F6">
        <v>22.131768714491798</v>
      </c>
      <c r="G6">
        <v>2020.3140164807301</v>
      </c>
      <c r="H6">
        <v>17.830737047124501</v>
      </c>
      <c r="I6">
        <v>2022.2377995202601</v>
      </c>
      <c r="J6">
        <v>17.617178417224</v>
      </c>
      <c r="K6">
        <v>2020.31490789649</v>
      </c>
      <c r="L6">
        <v>21.766582772526501</v>
      </c>
      <c r="M6">
        <v>2020.3139947089901</v>
      </c>
      <c r="N6">
        <v>22.089289508930499</v>
      </c>
      <c r="O6">
        <v>2020.3154639675599</v>
      </c>
      <c r="P6">
        <v>21.2506921987335</v>
      </c>
      <c r="Q6">
        <v>2020.3248237801099</v>
      </c>
      <c r="R6">
        <v>5.2777554914092599</v>
      </c>
    </row>
    <row r="7" spans="1:18">
      <c r="A7">
        <v>2022.40691992915</v>
      </c>
      <c r="B7">
        <v>123.54929919329599</v>
      </c>
      <c r="C7">
        <v>2020.43997840723</v>
      </c>
      <c r="D7">
        <v>22.8384755935801</v>
      </c>
      <c r="E7">
        <v>2020.4067734179</v>
      </c>
      <c r="F7">
        <v>22.6378066884409</v>
      </c>
      <c r="G7">
        <v>2020.4093861967699</v>
      </c>
      <c r="H7">
        <v>19.007680827036801</v>
      </c>
      <c r="I7">
        <v>2022.33154744528</v>
      </c>
      <c r="J7">
        <v>20.472100140799299</v>
      </c>
      <c r="K7">
        <v>2020.40936709416</v>
      </c>
      <c r="L7">
        <v>22.744150444359398</v>
      </c>
      <c r="M7">
        <v>2020.40936709416</v>
      </c>
      <c r="N7">
        <v>22.744150444359398</v>
      </c>
      <c r="O7">
        <v>2020.40677437302</v>
      </c>
      <c r="P7">
        <v>22.450984718615501</v>
      </c>
      <c r="Q7">
        <v>2020.41906896003</v>
      </c>
      <c r="R7">
        <v>5.5329215417285598</v>
      </c>
    </row>
    <row r="8" spans="1:18">
      <c r="A8">
        <v>2022.4981798178801</v>
      </c>
      <c r="B8">
        <v>134.63066596240299</v>
      </c>
      <c r="C8">
        <v>2020.53128929951</v>
      </c>
      <c r="D8">
        <v>23.9435491740023</v>
      </c>
      <c r="E8">
        <v>2020.4980866209501</v>
      </c>
      <c r="F8">
        <v>23.290891632188501</v>
      </c>
      <c r="G8">
        <v>2020.50542984036</v>
      </c>
      <c r="H8">
        <v>19.699069547708699</v>
      </c>
      <c r="I8">
        <v>2022.4157410881501</v>
      </c>
      <c r="J8">
        <v>21.904744602455199</v>
      </c>
      <c r="K8">
        <v>2020.50540806862</v>
      </c>
      <c r="L8">
        <v>23.9576220095148</v>
      </c>
      <c r="M8">
        <v>2020.50541087381</v>
      </c>
      <c r="N8">
        <v>23.408925010601202</v>
      </c>
      <c r="O8">
        <v>2020.49808358921</v>
      </c>
      <c r="P8">
        <v>23.883900723505601</v>
      </c>
      <c r="Q8">
        <v>2020.51623781583</v>
      </c>
      <c r="R8">
        <v>7.0138426160855198</v>
      </c>
    </row>
    <row r="9" spans="1:18">
      <c r="A9">
        <v>2022.5894397066099</v>
      </c>
      <c r="B9">
        <v>145.71203273151099</v>
      </c>
      <c r="C9">
        <v>2020.6226026935799</v>
      </c>
      <c r="D9">
        <v>24.559269723784599</v>
      </c>
      <c r="E9">
        <v>2020.58939893666</v>
      </c>
      <c r="F9">
        <v>24.1175402124192</v>
      </c>
      <c r="G9">
        <v>2020.5965258695601</v>
      </c>
      <c r="H9">
        <v>21.895876738512801</v>
      </c>
      <c r="I9">
        <v>2022.48214035572</v>
      </c>
      <c r="J9">
        <v>24.401173785953802</v>
      </c>
      <c r="K9">
        <v>2020.59714513974</v>
      </c>
      <c r="L9">
        <v>24.482754350742599</v>
      </c>
      <c r="M9">
        <v>2020.5971479449399</v>
      </c>
      <c r="N9">
        <v>23.934057351829001</v>
      </c>
      <c r="O9">
        <v>2020.5893965211301</v>
      </c>
      <c r="P9">
        <v>24.590019000623201</v>
      </c>
      <c r="Q9">
        <v>2020.6104846267201</v>
      </c>
      <c r="R9">
        <v>6.9499927951001101</v>
      </c>
    </row>
    <row r="10" spans="1:18">
      <c r="A10">
        <v>2022.68070011295</v>
      </c>
      <c r="B10">
        <v>156.692154046003</v>
      </c>
      <c r="C10">
        <v>2020.71391445471</v>
      </c>
      <c r="D10">
        <v>25.494395576817301</v>
      </c>
      <c r="E10">
        <v>2020.6807120287999</v>
      </c>
      <c r="F10">
        <v>24.792320610727</v>
      </c>
      <c r="G10">
        <v>2020.68459939899</v>
      </c>
      <c r="H10">
        <v>22.183979599026902</v>
      </c>
      <c r="I10">
        <v>2022.5817513276099</v>
      </c>
      <c r="J10">
        <v>25.7848194918503</v>
      </c>
      <c r="K10">
        <v>2020.6845863219501</v>
      </c>
      <c r="L10">
        <v>24.741847926799998</v>
      </c>
      <c r="M10">
        <v>2020.6845863219501</v>
      </c>
      <c r="N10">
        <v>24.741847926799998</v>
      </c>
      <c r="O10">
        <v>2020.68070882452</v>
      </c>
      <c r="P10">
        <v>25.419078186915801</v>
      </c>
      <c r="Q10">
        <v>2020.7051820361701</v>
      </c>
      <c r="R10">
        <v>8.2954312867093396</v>
      </c>
    </row>
    <row r="11" spans="1:18">
      <c r="A11">
        <v>2022.77195974287</v>
      </c>
      <c r="B11">
        <v>167.824143542418</v>
      </c>
      <c r="C11">
        <v>2020.80522811375</v>
      </c>
      <c r="D11">
        <v>26.058288096260998</v>
      </c>
      <c r="E11">
        <v>2020.7720252565</v>
      </c>
      <c r="F11">
        <v>25.4405843423501</v>
      </c>
      <c r="G11">
        <v>2020.77048294156</v>
      </c>
      <c r="H11">
        <v>22.659734330210899</v>
      </c>
      <c r="I11">
        <v>2022.7000415601699</v>
      </c>
      <c r="J11">
        <v>26.996905712665299</v>
      </c>
      <c r="K11">
        <v>2020.7704668220799</v>
      </c>
      <c r="L11">
        <v>25.812703823596099</v>
      </c>
      <c r="M11">
        <v>2020.7704668220799</v>
      </c>
      <c r="N11">
        <v>25.812703823596099</v>
      </c>
      <c r="O11">
        <v>2020.77202146066</v>
      </c>
      <c r="P11">
        <v>26.183051009527802</v>
      </c>
      <c r="Q11">
        <v>2020.7933837621599</v>
      </c>
      <c r="R11">
        <v>8.6381256510812801</v>
      </c>
    </row>
    <row r="12" spans="1:18">
      <c r="A12">
        <v>2022.8632198903999</v>
      </c>
      <c r="B12">
        <v>178.85488758421701</v>
      </c>
      <c r="C12">
        <v>2020.8965387656999</v>
      </c>
      <c r="D12">
        <v>27.210368494897299</v>
      </c>
      <c r="E12">
        <v>2020.8619517631801</v>
      </c>
      <c r="F12">
        <v>26.7024557829169</v>
      </c>
      <c r="G12">
        <v>2020.8568247250901</v>
      </c>
      <c r="H12">
        <v>24.357587279573199</v>
      </c>
      <c r="I12">
        <v>2022.7990872443099</v>
      </c>
      <c r="J12">
        <v>28.238960791571301</v>
      </c>
      <c r="K12">
        <v>2020.85558650345</v>
      </c>
      <c r="L12">
        <v>26.853747253874001</v>
      </c>
      <c r="M12">
        <v>2020.85558930864</v>
      </c>
      <c r="N12">
        <v>26.305050254960499</v>
      </c>
      <c r="O12">
        <v>2020.8633332464301</v>
      </c>
      <c r="P12">
        <v>27.1133556504357</v>
      </c>
      <c r="Q12">
        <v>2020.88003038737</v>
      </c>
      <c r="R12">
        <v>8.7008783730909691</v>
      </c>
    </row>
    <row r="13" spans="1:18">
      <c r="A13">
        <v>2022.9544800379399</v>
      </c>
      <c r="B13">
        <v>189.88563162601699</v>
      </c>
      <c r="C13">
        <v>2020.98785100747</v>
      </c>
      <c r="D13">
        <v>28.051480711501799</v>
      </c>
      <c r="E13">
        <v>2020.95227822172</v>
      </c>
      <c r="F13">
        <v>27.0563201487359</v>
      </c>
      <c r="G13">
        <v>2020.94754584673</v>
      </c>
      <c r="H13">
        <v>24.8379274393644</v>
      </c>
      <c r="I13">
        <v>2022.88639803407</v>
      </c>
      <c r="J13">
        <v>29.400179901312701</v>
      </c>
      <c r="K13">
        <v>2020.9473245228</v>
      </c>
      <c r="L13">
        <v>27.193405497988898</v>
      </c>
      <c r="M13">
        <v>2020.9473245228</v>
      </c>
      <c r="N13">
        <v>27.193405497988898</v>
      </c>
      <c r="O13">
        <v>2020.9546473861201</v>
      </c>
      <c r="P13">
        <v>27.583234533451201</v>
      </c>
      <c r="Q13">
        <v>2020.9666759286299</v>
      </c>
      <c r="R13">
        <v>8.9756539424689592</v>
      </c>
    </row>
    <row r="14" spans="1:18">
      <c r="A14">
        <v>2023.04575079658</v>
      </c>
      <c r="B14">
        <v>198.84084384820599</v>
      </c>
      <c r="C14">
        <v>2021.0791652087801</v>
      </c>
      <c r="D14">
        <v>28.509306564205701</v>
      </c>
      <c r="E14">
        <v>2021.04156789792</v>
      </c>
      <c r="F14">
        <v>27.801591145126199</v>
      </c>
      <c r="G14">
        <v>2021.04078947059</v>
      </c>
      <c r="H14">
        <v>24.848271350505598</v>
      </c>
      <c r="I14">
        <v>2022.98019591756</v>
      </c>
      <c r="J14">
        <v>31.182015013712299</v>
      </c>
      <c r="K14">
        <v>2021.04156726975</v>
      </c>
      <c r="L14">
        <v>27.924461673158401</v>
      </c>
      <c r="M14">
        <v>2021.0415671022899</v>
      </c>
      <c r="N14">
        <v>27.957217555533902</v>
      </c>
      <c r="O14">
        <v>2021.0459612546699</v>
      </c>
      <c r="P14">
        <v>28.106146749836199</v>
      </c>
      <c r="Q14">
        <v>2021.05487773341</v>
      </c>
      <c r="R14">
        <v>9.3029354943300806</v>
      </c>
    </row>
    <row r="15" spans="1:18">
      <c r="A15">
        <v>2023.13704251286</v>
      </c>
      <c r="B15">
        <v>203.696740107978</v>
      </c>
      <c r="C15">
        <v>2021.17047682201</v>
      </c>
      <c r="D15">
        <v>29.4733596899855</v>
      </c>
      <c r="E15">
        <v>2021.13727569717</v>
      </c>
      <c r="F15">
        <v>28.5167955869887</v>
      </c>
      <c r="G15">
        <v>2021.1372923702099</v>
      </c>
      <c r="H15">
        <v>25.255549704640199</v>
      </c>
      <c r="I15">
        <v>2023.0554072817999</v>
      </c>
      <c r="J15">
        <v>35.2923642462614</v>
      </c>
      <c r="K15">
        <v>2021.1372751062099</v>
      </c>
      <c r="L15">
        <v>28.632387030048498</v>
      </c>
      <c r="M15">
        <v>2021.1372774369299</v>
      </c>
      <c r="N15">
        <v>28.176498364532399</v>
      </c>
      <c r="O15">
        <v>2021.13727331158</v>
      </c>
      <c r="P15">
        <v>28.9834180573745</v>
      </c>
      <c r="Q15">
        <v>2021.14958065322</v>
      </c>
      <c r="R15">
        <v>9.5705488045408593</v>
      </c>
    </row>
    <row r="16" spans="1:18">
      <c r="A16">
        <v>2023.22556660644</v>
      </c>
      <c r="B16">
        <v>208.64158890224201</v>
      </c>
      <c r="C16">
        <v>2021.2617898402</v>
      </c>
      <c r="D16">
        <v>30.162603724667001</v>
      </c>
      <c r="E16">
        <v>2021.23298057334</v>
      </c>
      <c r="F16">
        <v>29.803754822273</v>
      </c>
      <c r="G16">
        <v>2021.2329970696101</v>
      </c>
      <c r="H16">
        <v>26.577084593542999</v>
      </c>
      <c r="I16">
        <v>2023.1070560722301</v>
      </c>
      <c r="J16">
        <v>37.883416082718298</v>
      </c>
      <c r="K16">
        <v>2021.23298291783</v>
      </c>
      <c r="L16">
        <v>29.345172469016301</v>
      </c>
      <c r="M16">
        <v>2021.23298488571</v>
      </c>
      <c r="N16">
        <v>28.960254881980099</v>
      </c>
      <c r="O16">
        <v>2021.2285859220401</v>
      </c>
      <c r="P16">
        <v>29.752412975949198</v>
      </c>
      <c r="Q16">
        <v>2021.2278546894299</v>
      </c>
      <c r="R16">
        <v>10.4040963229368</v>
      </c>
    </row>
    <row r="17" spans="1:18">
      <c r="A17">
        <v>2023.31961198709</v>
      </c>
      <c r="B17">
        <v>216.13878505364301</v>
      </c>
      <c r="C17">
        <v>2021.35310236748</v>
      </c>
      <c r="D17">
        <v>30.947870234161901</v>
      </c>
      <c r="E17">
        <v>2021.32722473992</v>
      </c>
      <c r="F17">
        <v>30.257129930088102</v>
      </c>
      <c r="G17">
        <v>2021.3272384309901</v>
      </c>
      <c r="H17">
        <v>27.5791567002717</v>
      </c>
      <c r="I17">
        <v>2023.18768020926</v>
      </c>
      <c r="J17">
        <v>41.608198793963901</v>
      </c>
      <c r="K17">
        <v>2021.3272239442899</v>
      </c>
      <c r="L17">
        <v>30.412756340495701</v>
      </c>
      <c r="M17">
        <v>2021.3272283824399</v>
      </c>
      <c r="N17">
        <v>29.5446535192971</v>
      </c>
      <c r="O17">
        <v>2021.3198989094201</v>
      </c>
      <c r="P17">
        <v>30.447683525786399</v>
      </c>
      <c r="Q17">
        <v>2021.4190534054901</v>
      </c>
      <c r="R17">
        <v>12.866389902845601</v>
      </c>
    </row>
    <row r="18" spans="1:18">
      <c r="A18">
        <v>2023.4108974977501</v>
      </c>
      <c r="B18">
        <v>222.20850181930101</v>
      </c>
      <c r="C18">
        <v>2021.4444143411899</v>
      </c>
      <c r="D18">
        <v>31.841413132620399</v>
      </c>
      <c r="E18">
        <v>2021.41587998826</v>
      </c>
      <c r="F18">
        <v>31.437220530682499</v>
      </c>
      <c r="G18">
        <v>2021.4158936583999</v>
      </c>
      <c r="H18">
        <v>28.763341786163</v>
      </c>
      <c r="I18">
        <v>2023.2789750757599</v>
      </c>
      <c r="J18">
        <v>45.847912614575598</v>
      </c>
      <c r="K18">
        <v>2021.41588737796</v>
      </c>
      <c r="L18">
        <v>29.991795282616</v>
      </c>
      <c r="M18">
        <v>2021.41588559866</v>
      </c>
      <c r="N18">
        <v>30.339826532855501</v>
      </c>
      <c r="O18">
        <v>2021.4112111060001</v>
      </c>
      <c r="P18">
        <v>31.2976346312856</v>
      </c>
      <c r="Q18">
        <v>2021.50417058484</v>
      </c>
      <c r="R18">
        <v>14.3968268174938</v>
      </c>
    </row>
    <row r="19" spans="1:18">
      <c r="A19">
        <v>2023.5021827496</v>
      </c>
      <c r="B19">
        <v>228.32884131226601</v>
      </c>
      <c r="C19">
        <v>2021.53892710016</v>
      </c>
      <c r="D19">
        <v>31.189879042442701</v>
      </c>
      <c r="E19">
        <v>2021.50408067378</v>
      </c>
      <c r="F19">
        <v>31.983430311861099</v>
      </c>
      <c r="G19">
        <v>2021.50409398806</v>
      </c>
      <c r="H19">
        <v>29.379157817389501</v>
      </c>
      <c r="I19">
        <v>2023.3722411753599</v>
      </c>
      <c r="J19">
        <v>51.127324310818302</v>
      </c>
      <c r="K19">
        <v>2021.50408191929</v>
      </c>
      <c r="L19">
        <v>31.739808436693401</v>
      </c>
      <c r="M19">
        <v>2021.5040831231199</v>
      </c>
      <c r="N19">
        <v>31.504339562995501</v>
      </c>
      <c r="O19">
        <v>2021.5059861905099</v>
      </c>
      <c r="P19">
        <v>31.379266367143099</v>
      </c>
      <c r="Q19">
        <v>2021.5939281189901</v>
      </c>
      <c r="R19">
        <v>14.881097573044901</v>
      </c>
    </row>
    <row r="20" spans="1:18">
      <c r="A20">
        <v>2023.5934682602599</v>
      </c>
      <c r="B20">
        <v>234.39855807792401</v>
      </c>
      <c r="C20">
        <v>2021.63279419118</v>
      </c>
      <c r="D20">
        <v>31.925291283523698</v>
      </c>
      <c r="E20">
        <v>2021.5899654372299</v>
      </c>
      <c r="F20">
        <v>32.220380456688801</v>
      </c>
      <c r="G20">
        <v>2021.58672892033</v>
      </c>
      <c r="H20">
        <v>31.237943785672201</v>
      </c>
      <c r="I20">
        <v>2023.4615649525499</v>
      </c>
      <c r="J20">
        <v>54.299216518405501</v>
      </c>
      <c r="K20">
        <v>2021.58996676578</v>
      </c>
      <c r="L20">
        <v>31.9605171231768</v>
      </c>
      <c r="M20">
        <v>2021.58672330993</v>
      </c>
      <c r="N20">
        <v>32.335337783499199</v>
      </c>
      <c r="O20">
        <v>2021.59383527917</v>
      </c>
      <c r="P20">
        <v>33.040566160495402</v>
      </c>
      <c r="Q20">
        <v>2021.6852389172</v>
      </c>
      <c r="R20">
        <v>16.004569230701801</v>
      </c>
    </row>
    <row r="21" spans="1:18">
      <c r="A21">
        <v>2023.68475558257</v>
      </c>
      <c r="B21">
        <v>240.113915752428</v>
      </c>
      <c r="C21">
        <v>2021.72303604085</v>
      </c>
      <c r="D21">
        <v>31.3567226251158</v>
      </c>
      <c r="E21">
        <v>2021.6773666224401</v>
      </c>
      <c r="F21">
        <v>33.537162093669501</v>
      </c>
      <c r="G21">
        <v>2021.6796255409399</v>
      </c>
      <c r="H21">
        <v>31.464867345814898</v>
      </c>
      <c r="I21">
        <v>2023.55998166528</v>
      </c>
      <c r="J21">
        <v>57.312218550732901</v>
      </c>
      <c r="K21">
        <v>2021.6773706731501</v>
      </c>
      <c r="L21">
        <v>32.744843219588198</v>
      </c>
      <c r="M21">
        <v>2021.68323837456</v>
      </c>
      <c r="N21">
        <v>32.593598880334099</v>
      </c>
      <c r="O21">
        <v>2021.6815909721499</v>
      </c>
      <c r="P21">
        <v>33.639415445850297</v>
      </c>
      <c r="Q21">
        <v>2021.77536496995</v>
      </c>
      <c r="R21">
        <v>16.896518474182201</v>
      </c>
    </row>
    <row r="22" spans="1:18">
      <c r="A22">
        <v>2023.77604135204</v>
      </c>
      <c r="B22">
        <v>246.133009790779</v>
      </c>
      <c r="C22">
        <v>2021.8126389116201</v>
      </c>
      <c r="D22">
        <v>33.097182374204799</v>
      </c>
      <c r="E22">
        <v>2021.7691376395301</v>
      </c>
      <c r="F22">
        <v>34.188189965132302</v>
      </c>
      <c r="G22">
        <v>2021.7746921324999</v>
      </c>
      <c r="H22">
        <v>32.519654525307203</v>
      </c>
      <c r="I22">
        <v>2023.6471382228599</v>
      </c>
      <c r="J22">
        <v>59.118084999477503</v>
      </c>
      <c r="K22">
        <v>2021.7691407796599</v>
      </c>
      <c r="L22">
        <v>33.573981201467802</v>
      </c>
      <c r="M22">
        <v>2021.7764652415999</v>
      </c>
      <c r="N22">
        <v>33.651118840020402</v>
      </c>
      <c r="O22">
        <v>2021.7758299982299</v>
      </c>
      <c r="P22">
        <v>32.999016689721401</v>
      </c>
      <c r="Q22">
        <v>2021.86786273448</v>
      </c>
      <c r="R22">
        <v>17.817112862943301</v>
      </c>
    </row>
    <row r="23" spans="1:18">
      <c r="A23">
        <v>2023.86732660389</v>
      </c>
      <c r="B23">
        <v>252.253349283744</v>
      </c>
      <c r="C23">
        <v>2021.8963214606599</v>
      </c>
      <c r="D23">
        <v>33.013897028523097</v>
      </c>
      <c r="E23">
        <v>2021.86454557855</v>
      </c>
      <c r="F23">
        <v>35.185088123989303</v>
      </c>
      <c r="G23">
        <v>2021.8667498083801</v>
      </c>
      <c r="H23">
        <v>32.533689820029601</v>
      </c>
      <c r="I23">
        <v>2023.7320078072</v>
      </c>
      <c r="J23">
        <v>63.651091545712902</v>
      </c>
      <c r="K23">
        <v>2021.86454976551</v>
      </c>
      <c r="L23">
        <v>34.366119126353901</v>
      </c>
      <c r="M23">
        <v>2021.86777380996</v>
      </c>
      <c r="N23">
        <v>35.210749022186498</v>
      </c>
      <c r="O23">
        <v>2021.8663130167799</v>
      </c>
      <c r="P23">
        <v>34.393515495448398</v>
      </c>
      <c r="Q23">
        <v>2021.95917759658</v>
      </c>
      <c r="R23">
        <v>18.1456871715679</v>
      </c>
    </row>
    <row r="24" spans="1:18">
      <c r="A24">
        <v>2023.9586121145501</v>
      </c>
      <c r="B24">
        <v>258.32306604940197</v>
      </c>
      <c r="C24">
        <v>2021.98452135044</v>
      </c>
      <c r="D24">
        <v>33.7157541188366</v>
      </c>
      <c r="E24">
        <v>2021.96055221752</v>
      </c>
      <c r="F24">
        <v>35.818210423068699</v>
      </c>
      <c r="G24">
        <v>2021.9596182554501</v>
      </c>
      <c r="H24">
        <v>33.4386956217133</v>
      </c>
      <c r="I24">
        <v>2023.8267734471101</v>
      </c>
      <c r="J24">
        <v>65.580086869708396</v>
      </c>
      <c r="K24">
        <v>2021.96055401794</v>
      </c>
      <c r="L24">
        <v>35.466048718408203</v>
      </c>
      <c r="M24">
        <v>2021.9590866506801</v>
      </c>
      <c r="N24">
        <v>35.9347057841644</v>
      </c>
      <c r="O24">
        <v>2021.9605553159599</v>
      </c>
      <c r="P24">
        <v>35.212154660874099</v>
      </c>
      <c r="Q24">
        <v>2022.05048506351</v>
      </c>
      <c r="R24">
        <v>19.9207571773517</v>
      </c>
    </row>
    <row r="25" spans="1:18">
      <c r="A25">
        <v>2024.04989633117</v>
      </c>
      <c r="B25">
        <v>264.64589645159703</v>
      </c>
      <c r="C25">
        <v>2022.0762942526001</v>
      </c>
      <c r="D25">
        <v>33.998060367326801</v>
      </c>
      <c r="E25">
        <v>2022.0568567586099</v>
      </c>
      <c r="F25">
        <v>36.552642806410503</v>
      </c>
      <c r="G25">
        <v>2022.05352385997</v>
      </c>
      <c r="H25">
        <v>34.447473808757302</v>
      </c>
      <c r="I25">
        <v>2023.92194269486</v>
      </c>
      <c r="J25">
        <v>69.752096918180698</v>
      </c>
      <c r="K25">
        <v>2022.0568586148499</v>
      </c>
      <c r="L25">
        <v>36.1895624742913</v>
      </c>
      <c r="M25">
        <v>2022.05479330556</v>
      </c>
      <c r="N25">
        <v>36.873747835219604</v>
      </c>
      <c r="O25">
        <v>2022.05686062925</v>
      </c>
      <c r="P25">
        <v>35.795546031039898</v>
      </c>
      <c r="Q25">
        <v>2022.1418003840899</v>
      </c>
      <c r="R25">
        <v>20.159654058085898</v>
      </c>
    </row>
    <row r="26" spans="1:18">
      <c r="A26">
        <v>2024.1411782185301</v>
      </c>
      <c r="B26">
        <v>271.42433139956103</v>
      </c>
      <c r="C26">
        <v>2022.1734662113699</v>
      </c>
      <c r="D26">
        <v>34.872041790599603</v>
      </c>
      <c r="E26">
        <v>2022.14950031222</v>
      </c>
      <c r="F26">
        <v>36.341974186207203</v>
      </c>
      <c r="G26">
        <v>2022.1495062367901</v>
      </c>
      <c r="H26">
        <v>35.183126939802101</v>
      </c>
      <c r="I26">
        <v>2024.01121862837</v>
      </c>
      <c r="J26">
        <v>71.972535345748796</v>
      </c>
      <c r="K26">
        <v>2022.1495001342901</v>
      </c>
      <c r="L26">
        <v>36.376777311231301</v>
      </c>
      <c r="M26">
        <v>2022.14171191228</v>
      </c>
      <c r="N26">
        <v>37.464740621308401</v>
      </c>
      <c r="O26">
        <v>2022.14949888878</v>
      </c>
      <c r="P26">
        <v>36.620399186398899</v>
      </c>
      <c r="Q26">
        <v>2022.2331107402599</v>
      </c>
      <c r="R26">
        <v>21.369589002216902</v>
      </c>
    </row>
    <row r="27" spans="1:18">
      <c r="A27">
        <v>2024.2324606234999</v>
      </c>
      <c r="B27">
        <v>278.10152089290898</v>
      </c>
      <c r="C27">
        <v>2022.2677088631599</v>
      </c>
      <c r="D27">
        <v>35.621711625912603</v>
      </c>
      <c r="E27">
        <v>2022.2377052341201</v>
      </c>
      <c r="F27">
        <v>36.059547435021798</v>
      </c>
      <c r="G27">
        <v>2022.2407817298999</v>
      </c>
      <c r="H27">
        <v>36.446550443086103</v>
      </c>
      <c r="I27">
        <v>2024.0982364921599</v>
      </c>
      <c r="J27">
        <v>74.374650132978999</v>
      </c>
      <c r="K27">
        <v>2022.23769898317</v>
      </c>
      <c r="L27">
        <v>37.282232682935003</v>
      </c>
      <c r="M27">
        <v>2022.2364878363901</v>
      </c>
      <c r="N27">
        <v>37.382146471110197</v>
      </c>
      <c r="O27">
        <v>2022.2377066870499</v>
      </c>
      <c r="P27">
        <v>35.7753541862904</v>
      </c>
      <c r="Q27">
        <v>2022.32193246632</v>
      </c>
      <c r="R27">
        <v>22.223329961509702</v>
      </c>
    </row>
    <row r="28" spans="1:18">
      <c r="A28">
        <v>2024.32374251086</v>
      </c>
      <c r="B28">
        <v>284.87995584087298</v>
      </c>
      <c r="C28">
        <v>2022.36488036791</v>
      </c>
      <c r="D28">
        <v>36.584497885847703</v>
      </c>
      <c r="E28">
        <v>2022.3243507627999</v>
      </c>
      <c r="F28">
        <v>36.336782288273</v>
      </c>
      <c r="G28">
        <v>2022.3243465810499</v>
      </c>
      <c r="H28">
        <v>37.154733066613801</v>
      </c>
      <c r="I28">
        <v>2024.18805188387</v>
      </c>
      <c r="J28">
        <v>76.424090482979395</v>
      </c>
      <c r="K28">
        <v>2022.32434847897</v>
      </c>
      <c r="L28">
        <v>36.783499733025103</v>
      </c>
      <c r="M28">
        <v>2022.3277982560301</v>
      </c>
      <c r="N28">
        <v>38.579666794020397</v>
      </c>
      <c r="O28">
        <v>2022.3243477198</v>
      </c>
      <c r="P28">
        <v>36.9319930664605</v>
      </c>
      <c r="Q28">
        <v>2022.4063940281601</v>
      </c>
      <c r="R28">
        <v>23.443765239446002</v>
      </c>
    </row>
    <row r="29" spans="1:18">
      <c r="A29">
        <v>2024.4150249158299</v>
      </c>
      <c r="B29">
        <v>291.55714533422201</v>
      </c>
      <c r="C29">
        <v>2022.45664936655</v>
      </c>
      <c r="D29">
        <v>37.630334653654401</v>
      </c>
      <c r="E29">
        <v>2022.41566125444</v>
      </c>
      <c r="F29">
        <v>37.520219314877203</v>
      </c>
      <c r="G29">
        <v>2022.41099200801</v>
      </c>
      <c r="H29">
        <v>37.4518636591553</v>
      </c>
      <c r="I29">
        <v>2024.2759665444601</v>
      </c>
      <c r="J29">
        <v>78.246361206378396</v>
      </c>
      <c r="K29">
        <v>2022.4109936093801</v>
      </c>
      <c r="L29">
        <v>37.138635533939798</v>
      </c>
      <c r="M29">
        <v>2022.4156484675</v>
      </c>
      <c r="N29">
        <v>40.0213436347806</v>
      </c>
      <c r="O29">
        <v>2022.41099325352</v>
      </c>
      <c r="P29">
        <v>37.208241783987603</v>
      </c>
      <c r="Q29">
        <v>2022.4821396196101</v>
      </c>
      <c r="R29">
        <v>24.5451557919096</v>
      </c>
    </row>
    <row r="30" spans="1:18">
      <c r="A30">
        <v>2024.5063065443801</v>
      </c>
      <c r="B30">
        <v>298.38620300949299</v>
      </c>
      <c r="C30">
        <v>2022.5440515314899</v>
      </c>
      <c r="D30">
        <v>38.755480066579501</v>
      </c>
      <c r="E30">
        <v>2022.51372607642</v>
      </c>
      <c r="F30">
        <v>36.873135375270401</v>
      </c>
      <c r="G30">
        <v>2022.5014371333</v>
      </c>
      <c r="H30">
        <v>38.757818305163298</v>
      </c>
      <c r="I30">
        <v>2024.3701228672701</v>
      </c>
      <c r="J30">
        <v>81.187189642637094</v>
      </c>
      <c r="K30">
        <v>2022.49919227243</v>
      </c>
      <c r="L30">
        <v>38.0804408362239</v>
      </c>
      <c r="M30">
        <v>2022.5069670221501</v>
      </c>
      <c r="N30">
        <v>39.6276573080087</v>
      </c>
      <c r="O30">
        <v>2022.49919227243</v>
      </c>
      <c r="P30">
        <v>38.0804408362239</v>
      </c>
      <c r="Q30">
        <v>2022.59835337561</v>
      </c>
      <c r="R30">
        <v>25.972521145141901</v>
      </c>
    </row>
    <row r="31" spans="1:18">
      <c r="A31">
        <v>2024.59758894935</v>
      </c>
      <c r="B31">
        <v>305.063392502841</v>
      </c>
      <c r="C31">
        <v>2022.63148863479</v>
      </c>
      <c r="D31">
        <v>39.812409456536699</v>
      </c>
      <c r="E31">
        <v>2022.6000662275101</v>
      </c>
      <c r="F31">
        <v>38.8902931859635</v>
      </c>
      <c r="G31">
        <v>2022.59531803604</v>
      </c>
      <c r="H31">
        <v>39.765603472864498</v>
      </c>
      <c r="I31">
        <v>2024.4140187647399</v>
      </c>
      <c r="J31">
        <v>82.416761980471193</v>
      </c>
      <c r="K31">
        <v>2022.5938961264401</v>
      </c>
      <c r="L31">
        <v>38.165323116897099</v>
      </c>
      <c r="M31">
        <v>2022.5949647787299</v>
      </c>
      <c r="N31">
        <v>39.272412993997399</v>
      </c>
      <c r="O31">
        <v>2022.59309932411</v>
      </c>
      <c r="P31">
        <v>38.806153606406603</v>
      </c>
      <c r="Q31">
        <v>2022.6896642494</v>
      </c>
      <c r="R31">
        <v>27.081210634657602</v>
      </c>
    </row>
    <row r="32" spans="1:18">
      <c r="A32">
        <v>2024.6888731659701</v>
      </c>
      <c r="B32">
        <v>311.38622290503702</v>
      </c>
      <c r="C32">
        <v>2022.7150541312201</v>
      </c>
      <c r="D32">
        <v>40.394372746644102</v>
      </c>
      <c r="E32">
        <v>2022.6881378590399</v>
      </c>
      <c r="F32">
        <v>39.094786351026599</v>
      </c>
      <c r="G32">
        <v>2022.68738400038</v>
      </c>
      <c r="H32">
        <v>40.091479749843899</v>
      </c>
      <c r="I32">
        <v>2024.4908021695001</v>
      </c>
      <c r="J32">
        <v>83.493636590897694</v>
      </c>
      <c r="K32">
        <v>2022.68813707754</v>
      </c>
      <c r="L32">
        <v>39.247647135445497</v>
      </c>
      <c r="M32">
        <v>2022.68959572627</v>
      </c>
      <c r="N32">
        <v>40.484335283175199</v>
      </c>
      <c r="O32">
        <v>2022.6881364076901</v>
      </c>
      <c r="P32">
        <v>39.378670664947499</v>
      </c>
      <c r="Q32">
        <v>2022.78097611673</v>
      </c>
      <c r="R32">
        <v>27.9955622164129</v>
      </c>
    </row>
    <row r="33" spans="1:18">
      <c r="A33">
        <v>2024.78015686498</v>
      </c>
      <c r="B33">
        <v>317.810298761848</v>
      </c>
      <c r="C33">
        <v>2022.80636653599</v>
      </c>
      <c r="D33">
        <v>41.203600680397997</v>
      </c>
      <c r="E33">
        <v>2022.78090868308</v>
      </c>
      <c r="F33">
        <v>41.185583524277398</v>
      </c>
      <c r="G33">
        <v>2022.7809002674801</v>
      </c>
      <c r="H33">
        <v>42.831674521017902</v>
      </c>
      <c r="I33">
        <v>2024.5821060554899</v>
      </c>
      <c r="J33">
        <v>85.969139717717695</v>
      </c>
      <c r="K33">
        <v>2022.7820168599901</v>
      </c>
      <c r="L33">
        <v>40.9293991869122</v>
      </c>
      <c r="M33">
        <v>2022.78282161026</v>
      </c>
      <c r="N33">
        <v>41.734137905030501</v>
      </c>
      <c r="O33">
        <v>2022.7820168599901</v>
      </c>
      <c r="P33">
        <v>40.9293991869122</v>
      </c>
      <c r="Q33">
        <v>2022.8681364286899</v>
      </c>
      <c r="R33">
        <v>29.0670720033328</v>
      </c>
    </row>
    <row r="34" spans="1:18">
      <c r="A34">
        <v>2024.87143952875</v>
      </c>
      <c r="B34">
        <v>324.43686552788898</v>
      </c>
      <c r="C34">
        <v>2022.90186676746</v>
      </c>
      <c r="D34">
        <v>42.493257472696897</v>
      </c>
      <c r="E34">
        <v>2022.87568110294</v>
      </c>
      <c r="F34">
        <v>41.788421305746901</v>
      </c>
      <c r="G34">
        <v>2022.87577753969</v>
      </c>
      <c r="H34">
        <v>42.256039047175697</v>
      </c>
      <c r="I34">
        <v>2024.6734096826699</v>
      </c>
      <c r="J34">
        <v>88.495265571845493</v>
      </c>
      <c r="K34">
        <v>2022.87577753969</v>
      </c>
      <c r="L34">
        <v>42.256039047175697</v>
      </c>
      <c r="M34">
        <v>2022.8747719179401</v>
      </c>
      <c r="N34">
        <v>42.675261415719604</v>
      </c>
      <c r="O34">
        <v>2022.87577753969</v>
      </c>
      <c r="P34">
        <v>42.256039047175697</v>
      </c>
      <c r="Q34">
        <v>2022.93997768242</v>
      </c>
      <c r="R34">
        <v>30.739866849424999</v>
      </c>
    </row>
    <row r="35" spans="1:18">
      <c r="A35">
        <v>2024.9627219337301</v>
      </c>
      <c r="B35">
        <v>331.11405502123699</v>
      </c>
      <c r="C35">
        <v>2022.9995012556101</v>
      </c>
      <c r="D35">
        <v>43.8642327658469</v>
      </c>
      <c r="E35">
        <v>2022.9692869335599</v>
      </c>
      <c r="F35">
        <v>41.582324554482703</v>
      </c>
      <c r="G35">
        <v>2022.9706456234001</v>
      </c>
      <c r="H35">
        <v>43.477671099822999</v>
      </c>
      <c r="I35">
        <v>2024.7647133098401</v>
      </c>
      <c r="J35">
        <v>91.021391425972993</v>
      </c>
      <c r="K35">
        <v>2022.9706456234001</v>
      </c>
      <c r="L35">
        <v>43.477671099822999</v>
      </c>
      <c r="M35">
        <v>2022.9692750557899</v>
      </c>
      <c r="N35">
        <v>43.905616396378903</v>
      </c>
      <c r="O35">
        <v>2022.96699268367</v>
      </c>
      <c r="P35">
        <v>42.758832870705596</v>
      </c>
      <c r="Q35">
        <v>2023.00533761458</v>
      </c>
      <c r="R35">
        <v>32.336804899004299</v>
      </c>
    </row>
    <row r="36" spans="1:18">
      <c r="A36">
        <v>2025.05400563273</v>
      </c>
      <c r="B36">
        <v>337.53813087804798</v>
      </c>
      <c r="C36">
        <v>2023.0900046161701</v>
      </c>
      <c r="D36">
        <v>48.277350577840302</v>
      </c>
      <c r="E36">
        <v>2023.0568211984501</v>
      </c>
      <c r="F36">
        <v>43.857274469240899</v>
      </c>
      <c r="G36">
        <v>2023.05876899286</v>
      </c>
      <c r="H36">
        <v>45.411971176765398</v>
      </c>
      <c r="I36">
        <v>2024.85601719583</v>
      </c>
      <c r="J36">
        <v>93.496894552793194</v>
      </c>
      <c r="K36">
        <v>2023.0600874234001</v>
      </c>
      <c r="L36">
        <v>43.912347732595798</v>
      </c>
      <c r="M36">
        <v>2023.06083311865</v>
      </c>
      <c r="N36">
        <v>45.2385633424133</v>
      </c>
      <c r="O36">
        <v>2023.06083513305</v>
      </c>
      <c r="P36">
        <v>44.844546899161699</v>
      </c>
      <c r="Q36">
        <v>2023.06013475857</v>
      </c>
      <c r="R36">
        <v>34.653588933829802</v>
      </c>
    </row>
    <row r="37" spans="1:18">
      <c r="A37">
        <v>2025.14528829651</v>
      </c>
      <c r="B37">
        <v>344.16469764408902</v>
      </c>
      <c r="C37">
        <v>2023.1773341968001</v>
      </c>
      <c r="D37">
        <v>54.901197518728999</v>
      </c>
      <c r="E37">
        <v>2023.11294666601</v>
      </c>
      <c r="F37">
        <v>45.5219483923767</v>
      </c>
      <c r="G37">
        <v>2023.1087966585501</v>
      </c>
      <c r="H37">
        <v>45.376334476121201</v>
      </c>
      <c r="I37">
        <v>2024.94732004658</v>
      </c>
      <c r="J37">
        <v>96.1748885888437</v>
      </c>
      <c r="K37">
        <v>2023.1087952351099</v>
      </c>
      <c r="L37">
        <v>45.654759476312798</v>
      </c>
      <c r="M37">
        <v>2023.1087952351099</v>
      </c>
      <c r="N37">
        <v>45.654759476312798</v>
      </c>
      <c r="O37">
        <v>2023.14614657369</v>
      </c>
      <c r="P37">
        <v>46.716587471677997</v>
      </c>
      <c r="Q37">
        <v>2023.1462027549701</v>
      </c>
      <c r="R37">
        <v>35.727529852196902</v>
      </c>
    </row>
    <row r="38" spans="1:18">
      <c r="A38">
        <v>2025.23657277194</v>
      </c>
      <c r="B38">
        <v>350.43690531897698</v>
      </c>
      <c r="C38">
        <v>2023.2705690201501</v>
      </c>
      <c r="D38">
        <v>66.298245229368604</v>
      </c>
      <c r="E38">
        <v>2023.1513880657701</v>
      </c>
      <c r="F38">
        <v>47.0223029661921</v>
      </c>
      <c r="G38">
        <v>2023.1498799365399</v>
      </c>
      <c r="H38">
        <v>47.169179559459202</v>
      </c>
      <c r="I38">
        <v>2025.04206943548</v>
      </c>
      <c r="J38">
        <v>101.282583743564</v>
      </c>
      <c r="K38">
        <v>2023.1498780965701</v>
      </c>
      <c r="L38">
        <v>47.529077891576001</v>
      </c>
      <c r="M38">
        <v>2023.23745201661</v>
      </c>
      <c r="N38">
        <v>48.887553758143802</v>
      </c>
      <c r="O38">
        <v>2023.23745746028</v>
      </c>
      <c r="P38">
        <v>47.822771766196098</v>
      </c>
      <c r="Q38">
        <v>2023.2375083203301</v>
      </c>
      <c r="R38">
        <v>37.874547726265597</v>
      </c>
    </row>
    <row r="39" spans="1:18">
      <c r="A39">
        <v>2025.3278577649901</v>
      </c>
      <c r="B39">
        <v>356.60786753924901</v>
      </c>
      <c r="C39">
        <v>2023.3618542720001</v>
      </c>
      <c r="D39">
        <v>72.418584722333705</v>
      </c>
      <c r="E39">
        <v>2023.22915338902</v>
      </c>
      <c r="F39">
        <v>48.324966271808599</v>
      </c>
      <c r="G39">
        <v>2023.2374521920599</v>
      </c>
      <c r="H39">
        <v>48.853237033775898</v>
      </c>
      <c r="I39">
        <v>2025.1281301361</v>
      </c>
      <c r="J39">
        <v>110.905395070702</v>
      </c>
      <c r="K39">
        <v>2023.2333043635099</v>
      </c>
      <c r="L39">
        <v>48.281427965711799</v>
      </c>
      <c r="M39">
        <v>2023.32757436817</v>
      </c>
      <c r="N39">
        <v>50.503456775593101</v>
      </c>
      <c r="O39">
        <v>2023.3287613462701</v>
      </c>
      <c r="P39">
        <v>50.298274893016298</v>
      </c>
      <c r="Q39">
        <v>2023.32881643473</v>
      </c>
      <c r="R39">
        <v>39.522971913122298</v>
      </c>
    </row>
    <row r="40" spans="1:18">
      <c r="A40">
        <v>2025.41914431088</v>
      </c>
      <c r="B40">
        <v>362.47509339567699</v>
      </c>
      <c r="C40">
        <v>2023.45313952385</v>
      </c>
      <c r="D40">
        <v>78.538924215299105</v>
      </c>
      <c r="E40">
        <v>2023.3287598767899</v>
      </c>
      <c r="F40">
        <v>50.5857052539221</v>
      </c>
      <c r="G40">
        <v>2023.3287578480099</v>
      </c>
      <c r="H40">
        <v>50.982534070912898</v>
      </c>
      <c r="I40">
        <v>2025.2193812883299</v>
      </c>
      <c r="J40">
        <v>117.591206798416</v>
      </c>
      <c r="K40">
        <v>2023.32638843872</v>
      </c>
      <c r="L40">
        <v>50.503521847167796</v>
      </c>
      <c r="M40">
        <v>2023.41228129052</v>
      </c>
      <c r="N40">
        <v>53.024520726714798</v>
      </c>
      <c r="O40">
        <v>2023.4200631618</v>
      </c>
      <c r="P40">
        <v>53.178759838296997</v>
      </c>
      <c r="Q40">
        <v>2023.4201248960501</v>
      </c>
      <c r="R40">
        <v>41.103540421700799</v>
      </c>
    </row>
    <row r="41" spans="1:18">
      <c r="A41">
        <v>2025.5104298215399</v>
      </c>
      <c r="B41">
        <v>368.54481016133502</v>
      </c>
      <c r="C41">
        <v>2023.5444247757</v>
      </c>
      <c r="D41">
        <v>84.659263708264305</v>
      </c>
      <c r="E41">
        <v>2023.41472850841</v>
      </c>
      <c r="F41">
        <v>52.782155019353603</v>
      </c>
      <c r="G41">
        <v>2023.41472830506</v>
      </c>
      <c r="H41">
        <v>52.821930019381</v>
      </c>
      <c r="I41">
        <v>2025.3124288368299</v>
      </c>
      <c r="J41">
        <v>126.957923751252</v>
      </c>
      <c r="K41">
        <v>2023.41228253603</v>
      </c>
      <c r="L41">
        <v>52.7808988515471</v>
      </c>
      <c r="M41">
        <v>2023.50583259617</v>
      </c>
      <c r="N41">
        <v>55.676900170175898</v>
      </c>
      <c r="O41">
        <v>2023.51136222287</v>
      </c>
      <c r="P41">
        <v>56.598015238493801</v>
      </c>
      <c r="Q41">
        <v>2023.50365357032</v>
      </c>
      <c r="R41">
        <v>42.122191789121302</v>
      </c>
    </row>
    <row r="42" spans="1:18">
      <c r="A42">
        <v>2025.6017150733901</v>
      </c>
      <c r="B42">
        <v>374.66514965430002</v>
      </c>
      <c r="C42">
        <v>2023.6357108039799</v>
      </c>
      <c r="D42">
        <v>90.627735019306897</v>
      </c>
      <c r="E42">
        <v>2023.50583259617</v>
      </c>
      <c r="F42">
        <v>55.676900170175898</v>
      </c>
      <c r="G42">
        <v>2023.5078071809501</v>
      </c>
      <c r="H42">
        <v>56.0610097998265</v>
      </c>
      <c r="I42">
        <v>2025.4092459630799</v>
      </c>
      <c r="J42">
        <v>133.559727845536</v>
      </c>
      <c r="K42">
        <v>2023.50813554212</v>
      </c>
      <c r="L42">
        <v>56.269046528640096</v>
      </c>
      <c r="M42">
        <v>2023.59934503865</v>
      </c>
      <c r="N42">
        <v>59.165191712908801</v>
      </c>
      <c r="O42">
        <v>2023.5994762351399</v>
      </c>
      <c r="P42">
        <v>58.4843003757913</v>
      </c>
      <c r="Q42">
        <v>2023.59541908798</v>
      </c>
      <c r="R42">
        <v>43.848908965893003</v>
      </c>
    </row>
    <row r="43" spans="1:18">
      <c r="A43">
        <v>2025.6930003252401</v>
      </c>
      <c r="B43">
        <v>380.78548914726503</v>
      </c>
      <c r="C43">
        <v>2023.7269968322501</v>
      </c>
      <c r="D43">
        <v>96.596206330349503</v>
      </c>
      <c r="E43">
        <v>2023.5991055617001</v>
      </c>
      <c r="F43">
        <v>59.613336394198797</v>
      </c>
      <c r="G43">
        <v>2023.60265992428</v>
      </c>
      <c r="H43">
        <v>60.283220840745898</v>
      </c>
      <c r="I43">
        <v>2025.50161416018</v>
      </c>
      <c r="J43">
        <v>144.35919653417801</v>
      </c>
      <c r="K43">
        <v>2023.6026622966799</v>
      </c>
      <c r="L43">
        <v>59.8191791737598</v>
      </c>
      <c r="M43">
        <v>2023.69218894249</v>
      </c>
      <c r="N43">
        <v>61.9712592801407</v>
      </c>
      <c r="O43">
        <v>2023.6921833320901</v>
      </c>
      <c r="P43">
        <v>63.068653277967698</v>
      </c>
      <c r="Q43">
        <v>2023.6907283783501</v>
      </c>
      <c r="R43">
        <v>46.099549085949398</v>
      </c>
    </row>
    <row r="44" spans="1:18">
      <c r="A44">
        <v>2025.78428557709</v>
      </c>
      <c r="B44">
        <v>386.90582864023003</v>
      </c>
      <c r="C44">
        <v>2023.8182818252999</v>
      </c>
      <c r="D44">
        <v>102.767168550622</v>
      </c>
      <c r="E44">
        <v>2023.6933157859901</v>
      </c>
      <c r="F44">
        <v>64.606569322660704</v>
      </c>
      <c r="G44">
        <v>2023.69219174769</v>
      </c>
      <c r="H44">
        <v>61.4225622812273</v>
      </c>
      <c r="I44">
        <v>2025.58625568715</v>
      </c>
      <c r="J44">
        <v>150.972806424092</v>
      </c>
      <c r="K44">
        <v>2023.6971910954001</v>
      </c>
      <c r="L44">
        <v>62.9694748587277</v>
      </c>
      <c r="M44">
        <v>2023.7859035818201</v>
      </c>
      <c r="N44">
        <v>65.760713144157606</v>
      </c>
      <c r="O44">
        <v>2023.78591199742</v>
      </c>
      <c r="P44">
        <v>64.114622147417194</v>
      </c>
      <c r="Q44">
        <v>2023.7853610434599</v>
      </c>
      <c r="R44">
        <v>46.975513243583002</v>
      </c>
    </row>
    <row r="45" spans="1:18">
      <c r="A45">
        <v>2025.82132606289</v>
      </c>
      <c r="B45">
        <v>389.33509824434299</v>
      </c>
      <c r="C45">
        <v>2023.90956733596</v>
      </c>
      <c r="D45">
        <v>108.83688531628</v>
      </c>
      <c r="E45">
        <v>2023.78524297535</v>
      </c>
      <c r="F45">
        <v>70.069635010172306</v>
      </c>
      <c r="G45">
        <v>2023.78591199742</v>
      </c>
      <c r="H45">
        <v>64.114622147417194</v>
      </c>
      <c r="I45">
        <v>2025.67753668608</v>
      </c>
      <c r="J45">
        <v>157.925017333639</v>
      </c>
      <c r="K45">
        <v>2023.7882339124001</v>
      </c>
      <c r="L45">
        <v>64.9616859305616</v>
      </c>
      <c r="M45">
        <v>2023.8843475118099</v>
      </c>
      <c r="N45">
        <v>69.026166971617698</v>
      </c>
      <c r="O45">
        <v>2023.8843587326101</v>
      </c>
      <c r="P45">
        <v>66.831378975963801</v>
      </c>
      <c r="Q45">
        <v>2023.8766713626601</v>
      </c>
      <c r="R45">
        <v>48.192680005900499</v>
      </c>
    </row>
    <row r="46" spans="1:18">
      <c r="A46">
        <v>2025.88641847944</v>
      </c>
      <c r="B46">
        <v>394.622691709881</v>
      </c>
      <c r="C46">
        <v>2024.0008533642299</v>
      </c>
      <c r="D46">
        <v>114.805356627322</v>
      </c>
      <c r="E46">
        <v>2023.8843194598201</v>
      </c>
      <c r="F46">
        <v>74.513136960752604</v>
      </c>
      <c r="G46">
        <v>2023.8843587326101</v>
      </c>
      <c r="H46">
        <v>66.831378975963801</v>
      </c>
      <c r="I46">
        <v>2025.7715791350299</v>
      </c>
      <c r="J46">
        <v>165.99565314242</v>
      </c>
      <c r="K46">
        <v>2023.8843559274101</v>
      </c>
      <c r="L46">
        <v>67.380075974877201</v>
      </c>
      <c r="M46">
        <v>2023.96787662171</v>
      </c>
      <c r="N46">
        <v>69.959611973624007</v>
      </c>
      <c r="O46">
        <v>2023.96787662171</v>
      </c>
      <c r="P46">
        <v>69.959611973624007</v>
      </c>
      <c r="Q46">
        <v>2023.9679795448501</v>
      </c>
      <c r="R46">
        <v>49.827845859415099</v>
      </c>
    </row>
    <row r="47" spans="1:18">
      <c r="A47">
        <v>2025.9834539169301</v>
      </c>
      <c r="B47">
        <v>400.15805117026702</v>
      </c>
      <c r="C47">
        <v>2024.0921391336999</v>
      </c>
      <c r="D47">
        <v>120.824450665672</v>
      </c>
      <c r="E47">
        <v>2023.9670415381399</v>
      </c>
      <c r="F47">
        <v>78.656801758851202</v>
      </c>
      <c r="G47">
        <v>2023.96788223211</v>
      </c>
      <c r="H47">
        <v>68.862217975796995</v>
      </c>
      <c r="I47">
        <v>2025.8600967345401</v>
      </c>
      <c r="J47">
        <v>172.210742619614</v>
      </c>
      <c r="K47">
        <v>2023.96787662171</v>
      </c>
      <c r="L47">
        <v>69.959611973624007</v>
      </c>
      <c r="M47">
        <v>2024.11313773085</v>
      </c>
      <c r="N47">
        <v>72.934211880152901</v>
      </c>
      <c r="O47">
        <v>2024.05918103009</v>
      </c>
      <c r="P47">
        <v>72.332934050674993</v>
      </c>
      <c r="Q47">
        <v>2024.0592873794899</v>
      </c>
      <c r="R47">
        <v>51.530990803885203</v>
      </c>
    </row>
    <row r="48" spans="1:18">
      <c r="A48">
        <v>2026.0747288164901</v>
      </c>
      <c r="B48">
        <v>408.30329975553502</v>
      </c>
      <c r="C48">
        <v>2024.1834243855501</v>
      </c>
      <c r="D48">
        <v>126.94479015863701</v>
      </c>
      <c r="E48">
        <v>2024.0591170893899</v>
      </c>
      <c r="F48">
        <v>84.839735364797306</v>
      </c>
      <c r="G48">
        <v>2024.05917945443</v>
      </c>
      <c r="H48">
        <v>72.641132918109506</v>
      </c>
      <c r="I48">
        <v>2025.9721181851901</v>
      </c>
      <c r="J48">
        <v>181.76596097602399</v>
      </c>
      <c r="K48">
        <v>2024.0387319326301</v>
      </c>
      <c r="L48">
        <v>72.1763967292068</v>
      </c>
      <c r="M48">
        <v>2024.2044429108701</v>
      </c>
      <c r="N48">
        <v>75.156601370435098</v>
      </c>
      <c r="O48">
        <v>2024.1544166224201</v>
      </c>
      <c r="P48">
        <v>74.9228493822948</v>
      </c>
      <c r="Q48">
        <v>2024.1505931141</v>
      </c>
      <c r="R48">
        <v>53.6449030213656</v>
      </c>
    </row>
    <row r="49" spans="1:18">
      <c r="A49">
        <v>2026.1659977634699</v>
      </c>
      <c r="B49">
        <v>417.61287106887698</v>
      </c>
      <c r="C49">
        <v>2024.2747096374001</v>
      </c>
      <c r="D49">
        <v>133.065129651603</v>
      </c>
      <c r="E49">
        <v>2024.1568531287301</v>
      </c>
      <c r="F49">
        <v>92.121487899476904</v>
      </c>
      <c r="G49">
        <v>2024.12831686298</v>
      </c>
      <c r="H49">
        <v>73.815068997881497</v>
      </c>
      <c r="I49">
        <v>2026.05094034951</v>
      </c>
      <c r="J49">
        <v>190.00500247198099</v>
      </c>
      <c r="K49">
        <v>2024.11313773085</v>
      </c>
      <c r="L49">
        <v>72.934211880152901</v>
      </c>
      <c r="M49">
        <v>2024.33309632788</v>
      </c>
      <c r="N49">
        <v>79.047491107264705</v>
      </c>
      <c r="O49">
        <v>2024.24571724012</v>
      </c>
      <c r="P49">
        <v>78.037629088101696</v>
      </c>
      <c r="Q49">
        <v>2024.24189932935</v>
      </c>
      <c r="R49">
        <v>55.664801602417498</v>
      </c>
    </row>
    <row r="50" spans="1:18">
      <c r="A50">
        <v>2026.2572682632999</v>
      </c>
      <c r="B50">
        <v>426.61870601837398</v>
      </c>
      <c r="C50">
        <v>2024.3659951480599</v>
      </c>
      <c r="D50">
        <v>139.13484641726001</v>
      </c>
      <c r="E50">
        <v>2024.24561069168</v>
      </c>
      <c r="F50">
        <v>98.878504176979803</v>
      </c>
      <c r="G50">
        <v>2024.2044414874299</v>
      </c>
      <c r="H50">
        <v>75.435026370626801</v>
      </c>
      <c r="I50">
        <v>2026.09868628155</v>
      </c>
      <c r="J50">
        <v>197.468304883635</v>
      </c>
      <c r="K50">
        <v>2024.2044414874299</v>
      </c>
      <c r="L50">
        <v>75.435026370626801</v>
      </c>
      <c r="M50">
        <v>2024.42439917864</v>
      </c>
      <c r="N50">
        <v>81.725485143315098</v>
      </c>
      <c r="O50">
        <v>2024.3336486876201</v>
      </c>
      <c r="P50">
        <v>79.257536411733597</v>
      </c>
      <c r="Q50">
        <v>2024.33320629227</v>
      </c>
      <c r="R50">
        <v>57.538456749025201</v>
      </c>
    </row>
    <row r="51" spans="1:18">
      <c r="A51">
        <v>2026.3485387631299</v>
      </c>
      <c r="B51">
        <v>435.62454096787098</v>
      </c>
      <c r="C51">
        <v>2024.4572816939501</v>
      </c>
      <c r="D51">
        <v>145.00207227368799</v>
      </c>
      <c r="E51">
        <v>2024.3082653804299</v>
      </c>
      <c r="F51">
        <v>105.13698791357</v>
      </c>
      <c r="G51">
        <v>2024.2628486997701</v>
      </c>
      <c r="H51">
        <v>77.258219693786003</v>
      </c>
      <c r="I51">
        <v>2026.1504884712599</v>
      </c>
      <c r="J51">
        <v>203.682136469125</v>
      </c>
      <c r="K51">
        <v>2024.33309632788</v>
      </c>
      <c r="L51">
        <v>79.047491107264705</v>
      </c>
      <c r="M51">
        <v>2024.51570332343</v>
      </c>
      <c r="N51">
        <v>84.150365542827601</v>
      </c>
      <c r="O51">
        <v>2024.42439917864</v>
      </c>
      <c r="P51">
        <v>81.725485143315098</v>
      </c>
      <c r="Q51">
        <v>2024.42451355508</v>
      </c>
      <c r="R51">
        <v>59.3534538147848</v>
      </c>
    </row>
    <row r="52" spans="1:18">
      <c r="A52">
        <v>2026.4398092629599</v>
      </c>
      <c r="B52">
        <v>444.63037591736799</v>
      </c>
      <c r="C52">
        <v>2024.5485669458001</v>
      </c>
      <c r="D52">
        <v>151.12241176665299</v>
      </c>
      <c r="E52">
        <v>2024.3746303891901</v>
      </c>
      <c r="F52">
        <v>109.51704659162201</v>
      </c>
      <c r="G52">
        <v>2024.33372921151</v>
      </c>
      <c r="H52">
        <v>80.161156069491</v>
      </c>
      <c r="I52">
        <v>2026.2251450889</v>
      </c>
      <c r="J52">
        <v>214.815036967586</v>
      </c>
      <c r="K52">
        <v>2024.42439917864</v>
      </c>
      <c r="L52">
        <v>81.725485143315098</v>
      </c>
      <c r="M52">
        <v>2024.60700746822</v>
      </c>
      <c r="N52">
        <v>86.575245942340104</v>
      </c>
      <c r="O52">
        <v>2024.51570332343</v>
      </c>
      <c r="P52">
        <v>84.150365542827601</v>
      </c>
      <c r="Q52">
        <v>2024.5158225523001</v>
      </c>
      <c r="R52">
        <v>60.829198254048201</v>
      </c>
    </row>
    <row r="53" spans="1:18">
      <c r="A53">
        <v>2026.5310797627899</v>
      </c>
      <c r="B53">
        <v>453.63621086686499</v>
      </c>
      <c r="C53">
        <v>2024.6398519388499</v>
      </c>
      <c r="D53">
        <v>157.29337398692601</v>
      </c>
      <c r="E53">
        <v>2024.4315601016999</v>
      </c>
      <c r="F53">
        <v>113.790826384754</v>
      </c>
      <c r="G53">
        <v>2024.42439937274</v>
      </c>
      <c r="H53">
        <v>81.687518097834499</v>
      </c>
      <c r="I53">
        <v>2026.3164040718</v>
      </c>
      <c r="J53">
        <v>226.07358328226999</v>
      </c>
      <c r="K53">
        <v>2024.51570332343</v>
      </c>
      <c r="L53">
        <v>84.150365542827601</v>
      </c>
      <c r="M53">
        <v>2024.69831031898</v>
      </c>
      <c r="N53">
        <v>89.253239978390596</v>
      </c>
      <c r="O53">
        <v>2024.60700746822</v>
      </c>
      <c r="P53">
        <v>86.575245942340104</v>
      </c>
      <c r="Q53">
        <v>2024.60713309333</v>
      </c>
      <c r="R53">
        <v>62.002974107245102</v>
      </c>
    </row>
    <row r="54" spans="1:18">
      <c r="A54">
        <v>2026.62235000382</v>
      </c>
      <c r="B54">
        <v>462.69266854366901</v>
      </c>
      <c r="C54">
        <v>2024.73113744951</v>
      </c>
      <c r="D54">
        <v>163.36309075258399</v>
      </c>
      <c r="E54">
        <v>2024.47817570241</v>
      </c>
      <c r="F54">
        <v>117.569381835138</v>
      </c>
      <c r="G54">
        <v>2024.51570332343</v>
      </c>
      <c r="H54">
        <v>84.150365542827601</v>
      </c>
      <c r="I54">
        <v>2026.4076558080901</v>
      </c>
      <c r="J54">
        <v>238.749565961565</v>
      </c>
      <c r="K54">
        <v>2024.60700746822</v>
      </c>
      <c r="L54">
        <v>86.575245942340104</v>
      </c>
      <c r="M54">
        <v>2024.7896142049599</v>
      </c>
      <c r="N54">
        <v>91.728743105210697</v>
      </c>
      <c r="O54">
        <v>2024.69831031898</v>
      </c>
      <c r="P54">
        <v>89.253239978390596</v>
      </c>
      <c r="Q54">
        <v>2024.69844106848</v>
      </c>
      <c r="R54">
        <v>63.678638142605401</v>
      </c>
    </row>
    <row r="55" spans="1:18">
      <c r="A55">
        <v>2026.71362050365</v>
      </c>
      <c r="B55">
        <v>471.69850349316602</v>
      </c>
      <c r="C55">
        <v>2024.82242321897</v>
      </c>
      <c r="D55">
        <v>169.38218479093399</v>
      </c>
      <c r="E55">
        <v>2024.5228344401401</v>
      </c>
      <c r="F55">
        <v>122.045829484103</v>
      </c>
      <c r="G55">
        <v>2024.60700746822</v>
      </c>
      <c r="H55">
        <v>86.575245942340104</v>
      </c>
      <c r="I55">
        <v>2026.49891129709</v>
      </c>
      <c r="J55">
        <v>250.69151909490199</v>
      </c>
      <c r="K55">
        <v>2024.69831031898</v>
      </c>
      <c r="L55">
        <v>89.253239978390596</v>
      </c>
      <c r="M55">
        <v>2024.8809183497599</v>
      </c>
      <c r="N55">
        <v>94.1536235047232</v>
      </c>
      <c r="O55">
        <v>2024.7896142049599</v>
      </c>
      <c r="P55">
        <v>91.728743105210697</v>
      </c>
      <c r="Q55">
        <v>2024.7897499235601</v>
      </c>
      <c r="R55">
        <v>65.182184905120096</v>
      </c>
    </row>
    <row r="56" spans="1:18">
      <c r="A56">
        <v>2026.8048912622801</v>
      </c>
      <c r="B56">
        <v>480.65371571535502</v>
      </c>
      <c r="C56">
        <v>2024.91370916098</v>
      </c>
      <c r="D56">
        <v>175.36753034441199</v>
      </c>
      <c r="E56">
        <v>2024.5612103814599</v>
      </c>
      <c r="F56">
        <v>125.614689491497</v>
      </c>
      <c r="G56">
        <v>2024.69831031898</v>
      </c>
      <c r="H56">
        <v>89.253239978390596</v>
      </c>
      <c r="I56">
        <v>2026.59016652729</v>
      </c>
      <c r="J56">
        <v>262.68409495554499</v>
      </c>
      <c r="K56">
        <v>2024.7896142049599</v>
      </c>
      <c r="L56">
        <v>91.728743105210697</v>
      </c>
      <c r="M56">
        <v>2024.97221861244</v>
      </c>
      <c r="N56">
        <v>97.337844813849401</v>
      </c>
      <c r="O56">
        <v>2024.8809183497599</v>
      </c>
      <c r="P56">
        <v>94.1536235047232</v>
      </c>
      <c r="Q56">
        <v>2024.88105707052</v>
      </c>
      <c r="R56">
        <v>67.019841667864895</v>
      </c>
    </row>
    <row r="57" spans="1:18">
      <c r="A57">
        <v>2026.8961615033099</v>
      </c>
      <c r="B57">
        <v>489.71017339216002</v>
      </c>
      <c r="C57">
        <v>2025.0049944990999</v>
      </c>
      <c r="D57">
        <v>181.470995594942</v>
      </c>
      <c r="E57">
        <v>2024.6140540987799</v>
      </c>
      <c r="F57">
        <v>129.0566869093</v>
      </c>
      <c r="G57">
        <v>2024.7896142049599</v>
      </c>
      <c r="H57">
        <v>91.728743105210697</v>
      </c>
      <c r="I57">
        <v>2026.68142046345</v>
      </c>
      <c r="J57">
        <v>274.92978445272598</v>
      </c>
      <c r="K57">
        <v>2024.8809183497599</v>
      </c>
      <c r="L57">
        <v>94.1536235047232</v>
      </c>
      <c r="M57">
        <v>2025.07126935161</v>
      </c>
      <c r="N57">
        <v>100.051400569978</v>
      </c>
      <c r="O57">
        <v>2024.97221861244</v>
      </c>
      <c r="P57">
        <v>97.337844813849401</v>
      </c>
      <c r="Q57">
        <v>2024.9723625956201</v>
      </c>
      <c r="R57">
        <v>69.174734188403804</v>
      </c>
    </row>
    <row r="58" spans="1:18">
      <c r="A58">
        <v>2026.97913561563</v>
      </c>
      <c r="B58">
        <v>497.71525879148498</v>
      </c>
      <c r="C58">
        <v>2025.1034099687499</v>
      </c>
      <c r="D58">
        <v>184.72714465648801</v>
      </c>
      <c r="E58">
        <v>2024.66073352019</v>
      </c>
      <c r="F58">
        <v>132.291426818384</v>
      </c>
      <c r="G58">
        <v>2024.8809183497599</v>
      </c>
      <c r="H58">
        <v>94.1536235047232</v>
      </c>
      <c r="I58">
        <v>2026.7477869624699</v>
      </c>
      <c r="J58">
        <v>283.83574045067701</v>
      </c>
      <c r="K58">
        <v>2024.9722188712401</v>
      </c>
      <c r="L58">
        <v>97.287222086541703</v>
      </c>
      <c r="M58">
        <v>2025.15482298694</v>
      </c>
      <c r="N58">
        <v>102.953394805469</v>
      </c>
      <c r="O58">
        <v>2025.0712604083201</v>
      </c>
      <c r="P58">
        <v>101.800708565325</v>
      </c>
      <c r="Q58">
        <v>2025.0636710538699</v>
      </c>
      <c r="R58">
        <v>70.755902466123402</v>
      </c>
    </row>
    <row r="59" spans="1:18">
      <c r="C59">
        <v>2025.1444109955501</v>
      </c>
      <c r="D59">
        <v>191.00993718872201</v>
      </c>
      <c r="E59">
        <v>2024.7034038617201</v>
      </c>
      <c r="F59">
        <v>136.81108827116299</v>
      </c>
      <c r="G59">
        <v>2024.9722180948199</v>
      </c>
      <c r="H59">
        <v>97.439090268464497</v>
      </c>
      <c r="I59">
        <v>2026.80664332318</v>
      </c>
      <c r="J59">
        <v>292.16973335000199</v>
      </c>
      <c r="K59">
        <v>2025.0635173222699</v>
      </c>
      <c r="L59">
        <v>100.82580248682</v>
      </c>
      <c r="M59">
        <v>2025.2461263084999</v>
      </c>
      <c r="N59">
        <v>105.53930080756599</v>
      </c>
      <c r="O59">
        <v>2025.1513248020201</v>
      </c>
      <c r="P59">
        <v>103.50398831277499</v>
      </c>
      <c r="Q59">
        <v>2025.1549749916101</v>
      </c>
      <c r="R59">
        <v>73.221281047481895</v>
      </c>
    </row>
    <row r="60" spans="1:18">
      <c r="C60">
        <v>2025.2242226401299</v>
      </c>
      <c r="D60">
        <v>195.14695800204299</v>
      </c>
      <c r="E60">
        <v>2024.79646373742</v>
      </c>
      <c r="F60">
        <v>143.76660515734099</v>
      </c>
      <c r="G60">
        <v>2025.06349649752</v>
      </c>
      <c r="H60">
        <v>104.899124080533</v>
      </c>
      <c r="I60">
        <v>2026.8651087747901</v>
      </c>
      <c r="J60">
        <v>300.49502337625398</v>
      </c>
      <c r="K60">
        <v>2025.15480019446</v>
      </c>
      <c r="L60">
        <v>107.411604245512</v>
      </c>
      <c r="M60">
        <v>2025.3403327354899</v>
      </c>
      <c r="N60">
        <v>108.59873296084599</v>
      </c>
      <c r="O60">
        <v>2025.2490306832899</v>
      </c>
      <c r="P60">
        <v>105.764542046155</v>
      </c>
      <c r="Q60">
        <v>2025.2462819315299</v>
      </c>
      <c r="R60">
        <v>75.099435992072799</v>
      </c>
    </row>
    <row r="61" spans="1:18">
      <c r="C61">
        <v>2025.30694247918</v>
      </c>
      <c r="D61">
        <v>200.843852831519</v>
      </c>
      <c r="E61">
        <v>2024.8474379874499</v>
      </c>
      <c r="F61">
        <v>147.81590704581399</v>
      </c>
      <c r="G61">
        <v>2025.1547678939301</v>
      </c>
      <c r="H61">
        <v>113.729587439</v>
      </c>
      <c r="I61">
        <v>2026.96348248402</v>
      </c>
      <c r="J61">
        <v>311.91951107978599</v>
      </c>
      <c r="K61">
        <v>2025.24899412476</v>
      </c>
      <c r="L61">
        <v>112.915391295931</v>
      </c>
      <c r="M61">
        <v>2025.4307097395699</v>
      </c>
      <c r="N61">
        <v>110.664278778297</v>
      </c>
      <c r="O61">
        <v>2025.33743030353</v>
      </c>
      <c r="P61">
        <v>107.993473041345</v>
      </c>
      <c r="Q61">
        <v>2025.3382787851101</v>
      </c>
      <c r="R61">
        <v>77.344989607285797</v>
      </c>
    </row>
    <row r="62" spans="1:18">
      <c r="C62">
        <v>2025.41107985333</v>
      </c>
      <c r="D62">
        <v>207.85723453206199</v>
      </c>
      <c r="E62">
        <v>2024.88409456356</v>
      </c>
      <c r="F62">
        <v>149.458763296152</v>
      </c>
      <c r="G62">
        <v>2025.2460376173401</v>
      </c>
      <c r="H62">
        <v>122.88729057042001</v>
      </c>
      <c r="I62">
        <v>2027.05619236404</v>
      </c>
      <c r="J62">
        <v>325.93096049889198</v>
      </c>
      <c r="K62">
        <v>2025.3373809125201</v>
      </c>
      <c r="L62">
        <v>117.654355809263</v>
      </c>
      <c r="M62">
        <v>2025.5200424459599</v>
      </c>
      <c r="N62">
        <v>112.089618120155</v>
      </c>
      <c r="O62">
        <v>2025.4228080722201</v>
      </c>
      <c r="P62">
        <v>109.77884368465401</v>
      </c>
      <c r="Q62">
        <v>2025.4288933268001</v>
      </c>
      <c r="R62">
        <v>79.341724063407</v>
      </c>
    </row>
    <row r="63" spans="1:18">
      <c r="C63">
        <v>2025.49460989574</v>
      </c>
      <c r="D63">
        <v>215.37400401249599</v>
      </c>
      <c r="E63">
        <v>2024.9719083023599</v>
      </c>
      <c r="F63">
        <v>158.034494855627</v>
      </c>
      <c r="G63">
        <v>2025.33731135227</v>
      </c>
      <c r="H63">
        <v>131.26034142857199</v>
      </c>
      <c r="I63">
        <v>2027.1279409178501</v>
      </c>
      <c r="J63">
        <v>339.816740018659</v>
      </c>
      <c r="K63">
        <v>2025.42867325407</v>
      </c>
      <c r="L63">
        <v>122.387951105768</v>
      </c>
      <c r="M63">
        <v>2025.61134710837</v>
      </c>
      <c r="N63">
        <v>114.413253065052</v>
      </c>
      <c r="O63">
        <v>2025.5200424459599</v>
      </c>
      <c r="P63">
        <v>112.089618120155</v>
      </c>
      <c r="Q63">
        <v>2025.52019850682</v>
      </c>
      <c r="R63">
        <v>81.564113553689296</v>
      </c>
    </row>
    <row r="64" spans="1:18">
      <c r="C64">
        <v>2025.58590124788</v>
      </c>
      <c r="D64">
        <v>220.301127916659</v>
      </c>
      <c r="E64">
        <v>2025.0604087290901</v>
      </c>
      <c r="F64">
        <v>167.608581134139</v>
      </c>
      <c r="G64">
        <v>2025.4285819209099</v>
      </c>
      <c r="H64">
        <v>140.25271716088801</v>
      </c>
      <c r="I64">
        <v>2027.1936472315699</v>
      </c>
      <c r="J64">
        <v>351.42743148390798</v>
      </c>
      <c r="K64">
        <v>2025.51996558016</v>
      </c>
      <c r="L64">
        <v>127.12456813050299</v>
      </c>
      <c r="M64">
        <v>2025.70265125316</v>
      </c>
      <c r="N64">
        <v>116.838133464564</v>
      </c>
      <c r="O64">
        <v>2025.6184618582399</v>
      </c>
      <c r="P64">
        <v>114.574588537485</v>
      </c>
      <c r="Q64">
        <v>2025.6115042044601</v>
      </c>
      <c r="R64">
        <v>83.685257589356397</v>
      </c>
    </row>
    <row r="65" spans="3:18">
      <c r="C65">
        <v>2025.6771882283699</v>
      </c>
      <c r="D65">
        <v>226.08334549737199</v>
      </c>
      <c r="E65">
        <v>2025.15443869092</v>
      </c>
      <c r="F65">
        <v>178.12169657423101</v>
      </c>
      <c r="G65">
        <v>2025.5198527760799</v>
      </c>
      <c r="H65">
        <v>149.189046302256</v>
      </c>
      <c r="I65">
        <v>2027.26282819471</v>
      </c>
      <c r="J65">
        <v>363.38357293184202</v>
      </c>
      <c r="K65">
        <v>2025.6112578198199</v>
      </c>
      <c r="L65">
        <v>131.878093986164</v>
      </c>
      <c r="M65">
        <v>2025.7939556567601</v>
      </c>
      <c r="N65">
        <v>119.212391136769</v>
      </c>
      <c r="O65">
        <v>2025.70775828712</v>
      </c>
      <c r="P65">
        <v>117.147918073676</v>
      </c>
      <c r="Q65">
        <v>2025.7028099020999</v>
      </c>
      <c r="R65">
        <v>85.806401625023398</v>
      </c>
    </row>
    <row r="66" spans="3:18">
      <c r="C66">
        <v>2025.7684739978399</v>
      </c>
      <c r="D66">
        <v>232.102439535722</v>
      </c>
      <c r="E66">
        <v>2025.27204398086</v>
      </c>
      <c r="F66">
        <v>193.913401247076</v>
      </c>
      <c r="G66">
        <v>2025.61112268538</v>
      </c>
      <c r="H66">
        <v>158.31038945890299</v>
      </c>
      <c r="I66">
        <v>2027.3408766242301</v>
      </c>
      <c r="J66">
        <v>375.34931219055801</v>
      </c>
      <c r="K66">
        <v>2025.7025498006601</v>
      </c>
      <c r="L66">
        <v>136.682242569132</v>
      </c>
      <c r="M66">
        <v>2025.8852603191699</v>
      </c>
      <c r="N66">
        <v>121.536026081667</v>
      </c>
      <c r="O66">
        <v>2025.79970397378</v>
      </c>
      <c r="P66">
        <v>118.99291398816101</v>
      </c>
      <c r="Q66">
        <v>2025.79411508212</v>
      </c>
      <c r="R66">
        <v>88.028791115305793</v>
      </c>
    </row>
    <row r="67" spans="3:18">
      <c r="C67">
        <v>2025.86322342986</v>
      </c>
      <c r="D67">
        <v>237.20169756922499</v>
      </c>
      <c r="E67">
        <v>2025.3701448235799</v>
      </c>
      <c r="F67">
        <v>204.12993538372999</v>
      </c>
      <c r="G67">
        <v>2025.70239138588</v>
      </c>
      <c r="H67">
        <v>167.668172893491</v>
      </c>
      <c r="I67">
        <v>2027.42420270311</v>
      </c>
      <c r="J67">
        <v>388.31765406042501</v>
      </c>
      <c r="K67">
        <v>2025.79384204031</v>
      </c>
      <c r="L67">
        <v>141.435768424793</v>
      </c>
      <c r="M67">
        <v>2025.97656472277</v>
      </c>
      <c r="N67">
        <v>123.91028375387199</v>
      </c>
      <c r="O67">
        <v>2025.8887185223</v>
      </c>
      <c r="P67">
        <v>121.684054150384</v>
      </c>
      <c r="Q67">
        <v>2025.8854207797499</v>
      </c>
      <c r="R67">
        <v>90.149935150972794</v>
      </c>
    </row>
    <row r="68" spans="3:18">
      <c r="C68">
        <v>2025.9568000197501</v>
      </c>
      <c r="D68">
        <v>242.71508778905499</v>
      </c>
      <c r="E68">
        <v>2025.4614153234099</v>
      </c>
      <c r="F68">
        <v>213.13577033322699</v>
      </c>
      <c r="G68">
        <v>2025.7687653487999</v>
      </c>
      <c r="H68">
        <v>175.11419127134599</v>
      </c>
      <c r="I68">
        <v>2027.52805938338</v>
      </c>
      <c r="J68">
        <v>405.57150845025899</v>
      </c>
      <c r="K68">
        <v>2025.88513453877</v>
      </c>
      <c r="L68">
        <v>146.13867155314699</v>
      </c>
      <c r="M68">
        <v>2026.0678605857199</v>
      </c>
      <c r="N68">
        <v>127.955091427227</v>
      </c>
      <c r="O68">
        <v>2025.97656472277</v>
      </c>
      <c r="P68">
        <v>123.91028375387199</v>
      </c>
      <c r="Q68">
        <v>2025.97672595978</v>
      </c>
      <c r="R68">
        <v>92.372324641255005</v>
      </c>
    </row>
    <row r="69" spans="3:18">
      <c r="C69">
        <v>2026.0494583347199</v>
      </c>
      <c r="D69">
        <v>247.91936163103799</v>
      </c>
      <c r="E69">
        <v>2025.5526767649801</v>
      </c>
      <c r="F69">
        <v>223.913400738489</v>
      </c>
      <c r="G69">
        <v>2025.85588606756</v>
      </c>
      <c r="H69">
        <v>183.93013174182801</v>
      </c>
      <c r="I69">
        <v>2027.59883435758</v>
      </c>
      <c r="J69">
        <v>418.19259777468301</v>
      </c>
      <c r="K69">
        <v>2025.9764262608101</v>
      </c>
      <c r="L69">
        <v>150.99344286342199</v>
      </c>
      <c r="M69">
        <v>2026.15913871311</v>
      </c>
      <c r="N69">
        <v>135.46897651989099</v>
      </c>
      <c r="O69">
        <v>2026.0678605857199</v>
      </c>
      <c r="P69">
        <v>127.955091427227</v>
      </c>
      <c r="Q69">
        <v>2026.06803010457</v>
      </c>
      <c r="R69">
        <v>94.797205040767693</v>
      </c>
    </row>
    <row r="70" spans="3:18">
      <c r="C70">
        <v>2026.1362315976601</v>
      </c>
      <c r="D70">
        <v>252.20774224383501</v>
      </c>
      <c r="E70">
        <v>2025.6439400182001</v>
      </c>
      <c r="F70">
        <v>234.336672052598</v>
      </c>
      <c r="G70">
        <v>2025.90549082895</v>
      </c>
      <c r="H70">
        <v>188.22245724171501</v>
      </c>
      <c r="I70">
        <v>2027.66602862747</v>
      </c>
      <c r="J70">
        <v>427.56398658641598</v>
      </c>
      <c r="K70">
        <v>2026.0677107362401</v>
      </c>
      <c r="L70">
        <v>157.26565053831101</v>
      </c>
      <c r="M70">
        <v>2026.2504218059901</v>
      </c>
      <c r="N70">
        <v>142.01161122405799</v>
      </c>
      <c r="O70">
        <v>2026.1591674511501</v>
      </c>
      <c r="P70">
        <v>129.847816126623</v>
      </c>
      <c r="Q70">
        <v>2026.15933424936</v>
      </c>
      <c r="R70">
        <v>97.222085440280097</v>
      </c>
    </row>
    <row r="71" spans="3:18">
      <c r="C71">
        <v>2026.2277021959201</v>
      </c>
      <c r="D71">
        <v>255.90295121157601</v>
      </c>
      <c r="E71">
        <v>2025.7352024950001</v>
      </c>
      <c r="F71">
        <v>244.911811548629</v>
      </c>
      <c r="G71">
        <v>2025.9844862996499</v>
      </c>
      <c r="H71">
        <v>198.22399194036399</v>
      </c>
      <c r="I71">
        <v>2027.7348589441799</v>
      </c>
      <c r="J71">
        <v>441.67944704875703</v>
      </c>
      <c r="K71">
        <v>2026.15899055314</v>
      </c>
      <c r="L71">
        <v>164.449067304735</v>
      </c>
      <c r="M71">
        <v>2026.3417008128399</v>
      </c>
      <c r="N71">
        <v>149.35347354457701</v>
      </c>
      <c r="O71">
        <v>2026.25047156756</v>
      </c>
      <c r="P71">
        <v>132.278246684827</v>
      </c>
      <c r="Q71">
        <v>2026.25063839415</v>
      </c>
      <c r="R71">
        <v>99.646965839792699</v>
      </c>
    </row>
    <row r="72" spans="3:18">
      <c r="C72">
        <v>2026.3136199576199</v>
      </c>
      <c r="D72">
        <v>263.216896264279</v>
      </c>
      <c r="E72">
        <v>2025.8264654894199</v>
      </c>
      <c r="F72">
        <v>255.38570559004501</v>
      </c>
      <c r="G72">
        <v>2026.0623721894001</v>
      </c>
      <c r="H72">
        <v>210.40071708921201</v>
      </c>
      <c r="I72">
        <v>2027.80950828645</v>
      </c>
      <c r="J72">
        <v>454.23540865930801</v>
      </c>
      <c r="K72">
        <v>2026.2502711464499</v>
      </c>
      <c r="L72">
        <v>171.48061588923599</v>
      </c>
      <c r="M72">
        <v>2026.43298399423</v>
      </c>
      <c r="N72">
        <v>155.878794856002</v>
      </c>
      <c r="O72">
        <v>2026.3424661450899</v>
      </c>
      <c r="P72">
        <v>134.96899626883399</v>
      </c>
      <c r="Q72">
        <v>2026.34194253895</v>
      </c>
      <c r="R72">
        <v>102.071846239305</v>
      </c>
    </row>
    <row r="73" spans="3:18">
      <c r="C73">
        <v>2026.4128008141599</v>
      </c>
      <c r="D73">
        <v>276.24118816528602</v>
      </c>
      <c r="E73">
        <v>2025.91772822503</v>
      </c>
      <c r="F73">
        <v>265.91022235877</v>
      </c>
      <c r="G73">
        <v>2026.11945831515</v>
      </c>
      <c r="H73">
        <v>220.931582973096</v>
      </c>
      <c r="I73">
        <v>2027.88415699608</v>
      </c>
      <c r="J73">
        <v>466.91511471438901</v>
      </c>
      <c r="K73">
        <v>2026.34155122216</v>
      </c>
      <c r="L73">
        <v>178.61340992835301</v>
      </c>
      <c r="M73">
        <v>2026.52426588158</v>
      </c>
      <c r="N73">
        <v>162.657229803966</v>
      </c>
      <c r="O73">
        <v>2026.4351525370701</v>
      </c>
      <c r="P73">
        <v>137.65535150926499</v>
      </c>
      <c r="Q73">
        <v>2026.4332464249301</v>
      </c>
      <c r="R73">
        <v>104.547349366125</v>
      </c>
    </row>
    <row r="74" spans="3:18">
      <c r="C74">
        <v>2026.4849188922101</v>
      </c>
      <c r="D74">
        <v>281.31567218502499</v>
      </c>
      <c r="E74">
        <v>2026.0089894077901</v>
      </c>
      <c r="F74">
        <v>276.73847549133899</v>
      </c>
      <c r="G74">
        <v>2026.1738623164499</v>
      </c>
      <c r="H74">
        <v>232.451429236031</v>
      </c>
      <c r="I74">
        <v>2027.9588060220401</v>
      </c>
      <c r="J74">
        <v>479.532948547204</v>
      </c>
      <c r="K74">
        <v>2026.4328323330899</v>
      </c>
      <c r="L74">
        <v>185.54371305823901</v>
      </c>
      <c r="M74">
        <v>2026.6155477689399</v>
      </c>
      <c r="N74">
        <v>169.43566475193001</v>
      </c>
      <c r="O74">
        <v>2026.52714808583</v>
      </c>
      <c r="P74">
        <v>140.15612804132101</v>
      </c>
      <c r="Q74">
        <v>2026.5245503109199</v>
      </c>
      <c r="R74">
        <v>107.02285249294501</v>
      </c>
    </row>
    <row r="75" spans="3:18">
      <c r="C75">
        <v>2026.57841991026</v>
      </c>
      <c r="D75">
        <v>287.03858215522098</v>
      </c>
      <c r="E75">
        <v>2026.0960936778699</v>
      </c>
      <c r="F75">
        <v>288.77177728433998</v>
      </c>
      <c r="G75">
        <v>2026.23495430342</v>
      </c>
      <c r="H75">
        <v>244.66165038690301</v>
      </c>
      <c r="I75">
        <v>2028.04176132769</v>
      </c>
      <c r="J75">
        <v>491.21661879754703</v>
      </c>
      <c r="K75">
        <v>2026.49091257699</v>
      </c>
      <c r="L75">
        <v>191.467025320056</v>
      </c>
      <c r="M75">
        <v>2026.7068296563</v>
      </c>
      <c r="N75">
        <v>176.21409969989401</v>
      </c>
      <c r="O75">
        <v>2026.62280338398</v>
      </c>
      <c r="P75">
        <v>142.04377293267001</v>
      </c>
      <c r="Q75">
        <v>2026.61585445571</v>
      </c>
      <c r="R75">
        <v>109.44773289245801</v>
      </c>
    </row>
    <row r="76" spans="3:18">
      <c r="C76">
        <v>2026.6807933361399</v>
      </c>
      <c r="D76">
        <v>289.34427482938298</v>
      </c>
      <c r="E76">
        <v>2026.1831962915801</v>
      </c>
      <c r="F76">
        <v>301.129064532109</v>
      </c>
      <c r="G76">
        <v>2026.28828935294</v>
      </c>
      <c r="H76">
        <v>255.757576335935</v>
      </c>
      <c r="I76">
        <v>2028.1330253573401</v>
      </c>
      <c r="J76">
        <v>501.48802192973301</v>
      </c>
      <c r="K76">
        <v>2026.5821952593899</v>
      </c>
      <c r="L76">
        <v>198.08995041210699</v>
      </c>
      <c r="M76">
        <v>2026.79811180246</v>
      </c>
      <c r="N76">
        <v>182.94191192055001</v>
      </c>
      <c r="O76">
        <v>2026.7127376394401</v>
      </c>
      <c r="P76">
        <v>144.76392896888399</v>
      </c>
      <c r="Q76">
        <v>2026.7071586005</v>
      </c>
      <c r="R76">
        <v>111.87261329197</v>
      </c>
    </row>
    <row r="77" spans="3:18">
      <c r="C77">
        <v>2026.77079800652</v>
      </c>
      <c r="D77">
        <v>293.35926184328002</v>
      </c>
      <c r="E77">
        <v>2026.2703020368599</v>
      </c>
      <c r="F77">
        <v>312.873816779457</v>
      </c>
      <c r="G77">
        <v>2026.36598315827</v>
      </c>
      <c r="H77">
        <v>271.04914348890998</v>
      </c>
      <c r="I77">
        <v>2028.2242899046</v>
      </c>
      <c r="J77">
        <v>511.65817960730402</v>
      </c>
      <c r="K77">
        <v>2026.67348276656</v>
      </c>
      <c r="L77">
        <v>203.769148995677</v>
      </c>
      <c r="M77">
        <v>2026.89116774235</v>
      </c>
      <c r="N77">
        <v>190.667273071327</v>
      </c>
      <c r="O77">
        <v>2026.7982950380999</v>
      </c>
      <c r="P77">
        <v>147.101020986789</v>
      </c>
      <c r="Q77">
        <v>2026.79846274529</v>
      </c>
      <c r="R77">
        <v>114.297493691483</v>
      </c>
    </row>
    <row r="78" spans="3:18">
      <c r="C78">
        <v>2026.84784972793</v>
      </c>
      <c r="D78">
        <v>298.33444832332202</v>
      </c>
      <c r="E78">
        <v>2026.3532550362499</v>
      </c>
      <c r="F78">
        <v>325.00859177758502</v>
      </c>
      <c r="G78">
        <v>2026.49536006982</v>
      </c>
      <c r="H78">
        <v>295.80191501308099</v>
      </c>
      <c r="I78">
        <v>2028.3155547106701</v>
      </c>
      <c r="J78">
        <v>521.77771455756704</v>
      </c>
      <c r="K78">
        <v>2026.76476162218</v>
      </c>
      <c r="L78">
        <v>211.14059303495799</v>
      </c>
      <c r="M78">
        <v>2026.98067255775</v>
      </c>
      <c r="N78">
        <v>197.08938030173201</v>
      </c>
      <c r="O78">
        <v>2026.8895991828899</v>
      </c>
      <c r="P78">
        <v>149.525901386302</v>
      </c>
      <c r="Q78">
        <v>2026.8897666312801</v>
      </c>
      <c r="R78">
        <v>116.772996818303</v>
      </c>
    </row>
    <row r="79" spans="3:18">
      <c r="C79">
        <v>2026.9468887887999</v>
      </c>
      <c r="D79">
        <v>310.09800389875898</v>
      </c>
      <c r="E79">
        <v>2026.44036078153</v>
      </c>
      <c r="F79">
        <v>336.75334402493303</v>
      </c>
      <c r="G79">
        <v>2026.5559716743001</v>
      </c>
      <c r="H79">
        <v>308.48492529772102</v>
      </c>
      <c r="I79">
        <v>2028.4068195167299</v>
      </c>
      <c r="J79">
        <v>531.89724950783102</v>
      </c>
      <c r="K79">
        <v>2026.8560398862301</v>
      </c>
      <c r="L79">
        <v>218.62774616522799</v>
      </c>
      <c r="M79">
        <v>2027.07195565288</v>
      </c>
      <c r="N79">
        <v>203.63157585559401</v>
      </c>
      <c r="O79">
        <v>2026.98090306888</v>
      </c>
      <c r="P79">
        <v>152.001404513122</v>
      </c>
      <c r="Q79">
        <v>2026.9810699996499</v>
      </c>
      <c r="R79">
        <v>119.349745399738</v>
      </c>
    </row>
    <row r="80" spans="3:18">
      <c r="C80">
        <v>2027.0381644709501</v>
      </c>
      <c r="D80">
        <v>318.09017899907298</v>
      </c>
      <c r="E80">
        <v>2026.5274633952399</v>
      </c>
      <c r="F80">
        <v>349.11063127270199</v>
      </c>
      <c r="G80">
        <v>2026.61477781693</v>
      </c>
      <c r="H80">
        <v>320.038278491955</v>
      </c>
      <c r="I80">
        <v>2028.4980843228</v>
      </c>
      <c r="J80">
        <v>542.01678445809398</v>
      </c>
      <c r="K80">
        <v>2026.9473199619299</v>
      </c>
      <c r="L80">
        <v>225.76054020434501</v>
      </c>
      <c r="M80">
        <v>2027.1599134466901</v>
      </c>
      <c r="N80">
        <v>211.09304887736801</v>
      </c>
      <c r="O80">
        <v>2027.07220617844</v>
      </c>
      <c r="P80">
        <v>154.628775821864</v>
      </c>
      <c r="Q80">
        <v>2027.07237310921</v>
      </c>
      <c r="R80">
        <v>121.97711670848101</v>
      </c>
    </row>
    <row r="81" spans="3:18">
      <c r="C81">
        <v>2027.1294585160899</v>
      </c>
      <c r="D81">
        <v>322.490551066612</v>
      </c>
      <c r="E81">
        <v>2026.6145671477</v>
      </c>
      <c r="F81">
        <v>361.24517852031897</v>
      </c>
      <c r="G81">
        <v>2026.6769761257301</v>
      </c>
      <c r="H81">
        <v>332.35516849276399</v>
      </c>
      <c r="I81">
        <v>2028.58934861125</v>
      </c>
      <c r="J81">
        <v>552.23756486297304</v>
      </c>
      <c r="K81">
        <v>2027.03860003764</v>
      </c>
      <c r="L81">
        <v>232.893334243461</v>
      </c>
      <c r="M81">
        <v>2027.25450338153</v>
      </c>
      <c r="N81">
        <v>220.327054844591</v>
      </c>
      <c r="O81">
        <v>2027.1771765774099</v>
      </c>
      <c r="P81">
        <v>157.33701367377799</v>
      </c>
      <c r="Q81">
        <v>2027.16367544235</v>
      </c>
      <c r="R81">
        <v>124.756356199146</v>
      </c>
    </row>
    <row r="82" spans="3:18">
      <c r="C82">
        <v>2027.22074350913</v>
      </c>
      <c r="D82">
        <v>328.661513286885</v>
      </c>
      <c r="E82">
        <v>2026.7016717542299</v>
      </c>
      <c r="F82">
        <v>373.21267076781999</v>
      </c>
      <c r="G82">
        <v>2026.7391751462601</v>
      </c>
      <c r="H82">
        <v>344.53284599347802</v>
      </c>
      <c r="I82">
        <v>2028.68061289971</v>
      </c>
      <c r="J82">
        <v>562.45834526785097</v>
      </c>
      <c r="K82">
        <v>2027.1298788193001</v>
      </c>
      <c r="L82">
        <v>240.279241919116</v>
      </c>
      <c r="M82">
        <v>2027.34577802228</v>
      </c>
      <c r="N82">
        <v>228.52292615716601</v>
      </c>
      <c r="O82">
        <v>2027.26457172145</v>
      </c>
      <c r="P82">
        <v>160.023659243314</v>
      </c>
      <c r="Q82">
        <v>2027.2549782931101</v>
      </c>
      <c r="R82">
        <v>127.434350235197</v>
      </c>
    </row>
    <row r="83" spans="3:18">
      <c r="C83">
        <v>2027.3120292786</v>
      </c>
      <c r="D83">
        <v>334.68060732523497</v>
      </c>
      <c r="E83">
        <v>2026.78877351388</v>
      </c>
      <c r="F83">
        <v>385.73701301570401</v>
      </c>
      <c r="G83">
        <v>2026.7972259047301</v>
      </c>
      <c r="H83">
        <v>356.22350749436703</v>
      </c>
      <c r="I83">
        <v>2028.77187796458</v>
      </c>
      <c r="J83">
        <v>572.52725749080696</v>
      </c>
      <c r="K83">
        <v>2027.22115811859</v>
      </c>
      <c r="L83">
        <v>247.56390414015499</v>
      </c>
      <c r="M83">
        <v>2027.4370531806401</v>
      </c>
      <c r="N83">
        <v>236.61755201512699</v>
      </c>
      <c r="O83">
        <v>2027.34611731878</v>
      </c>
      <c r="P83">
        <v>162.15653065693999</v>
      </c>
      <c r="Q83">
        <v>2027.3462811438601</v>
      </c>
      <c r="R83">
        <v>130.112344271247</v>
      </c>
    </row>
    <row r="84" spans="3:18">
      <c r="C84">
        <v>2027.40331556568</v>
      </c>
      <c r="D84">
        <v>340.59845590896998</v>
      </c>
      <c r="E84">
        <v>2026.87587925916</v>
      </c>
      <c r="F84">
        <v>397.48176526305201</v>
      </c>
      <c r="G84">
        <v>2026.8594249252601</v>
      </c>
      <c r="H84">
        <v>368.40118499507997</v>
      </c>
      <c r="I84">
        <v>2028.8631432882601</v>
      </c>
      <c r="J84">
        <v>582.54554698645495</v>
      </c>
      <c r="K84">
        <v>2027.3124374178699</v>
      </c>
      <c r="L84">
        <v>254.848566361195</v>
      </c>
      <c r="M84">
        <v>2027.5283280802</v>
      </c>
      <c r="N84">
        <v>244.762800600395</v>
      </c>
      <c r="O84">
        <v>2027.4394961901801</v>
      </c>
      <c r="P84">
        <v>164.70842223896199</v>
      </c>
      <c r="Q84">
        <v>2027.43758373581</v>
      </c>
      <c r="R84">
        <v>132.84096103460499</v>
      </c>
    </row>
    <row r="85" spans="3:18">
      <c r="C85">
        <v>2027.49460081753</v>
      </c>
      <c r="D85">
        <v>346.71879540193498</v>
      </c>
      <c r="E85">
        <v>2026.96816697687</v>
      </c>
      <c r="F85">
        <v>410.49155147369203</v>
      </c>
      <c r="G85">
        <v>2026.92162811443</v>
      </c>
      <c r="H85">
        <v>379.763474995232</v>
      </c>
      <c r="I85">
        <v>2028.9258156570099</v>
      </c>
      <c r="J85">
        <v>592.34598670938101</v>
      </c>
      <c r="K85">
        <v>2027.40371671715</v>
      </c>
      <c r="L85">
        <v>262.13322858223398</v>
      </c>
      <c r="M85">
        <v>2027.6196037561799</v>
      </c>
      <c r="N85">
        <v>252.75618100374001</v>
      </c>
      <c r="O85">
        <v>2027.53149734934</v>
      </c>
      <c r="P85">
        <v>166.11180477318999</v>
      </c>
      <c r="Q85">
        <v>2027.52888658657</v>
      </c>
      <c r="R85">
        <v>135.51895507065601</v>
      </c>
    </row>
    <row r="86" spans="3:18">
      <c r="C86">
        <v>2027.58588606938</v>
      </c>
      <c r="D86">
        <v>352.83913489490101</v>
      </c>
      <c r="E86">
        <v>2027.0504059597899</v>
      </c>
      <c r="F86">
        <v>421.76903179434402</v>
      </c>
      <c r="G86">
        <v>2026.9796781679599</v>
      </c>
      <c r="H86">
        <v>391.59202316288298</v>
      </c>
      <c r="I86">
        <v>2029.0124883568501</v>
      </c>
      <c r="J86">
        <v>598.58475252454502</v>
      </c>
      <c r="K86">
        <v>2027.4949960164299</v>
      </c>
      <c r="L86">
        <v>269.417890803273</v>
      </c>
      <c r="M86">
        <v>2027.7108791733499</v>
      </c>
      <c r="N86">
        <v>260.80018413439302</v>
      </c>
      <c r="O86">
        <v>2027.62349218638</v>
      </c>
      <c r="P86">
        <v>168.751793805342</v>
      </c>
      <c r="Q86">
        <v>2027.6201891785099</v>
      </c>
      <c r="R86">
        <v>138.247571834014</v>
      </c>
    </row>
    <row r="87" spans="3:18">
      <c r="C87">
        <v>2027.6771713212399</v>
      </c>
      <c r="D87">
        <v>358.95947438786601</v>
      </c>
      <c r="E87">
        <v>2027.13220242647</v>
      </c>
      <c r="F87">
        <v>435.291339289912</v>
      </c>
      <c r="G87">
        <v>2027.05131043808</v>
      </c>
      <c r="H87">
        <v>403.82397271868598</v>
      </c>
      <c r="I87">
        <v>2029.10951512012</v>
      </c>
      <c r="J87">
        <v>605.81679129695999</v>
      </c>
      <c r="K87">
        <v>2027.5862753157101</v>
      </c>
      <c r="L87">
        <v>276.70255302431298</v>
      </c>
      <c r="M87">
        <v>2027.80215433171</v>
      </c>
      <c r="N87">
        <v>268.894809992354</v>
      </c>
      <c r="O87">
        <v>2027.7170779763701</v>
      </c>
      <c r="P87">
        <v>172.46564413346101</v>
      </c>
      <c r="Q87">
        <v>2027.7114922880801</v>
      </c>
      <c r="R87">
        <v>140.874943142756</v>
      </c>
    </row>
    <row r="88" spans="3:18">
      <c r="C88">
        <v>2027.7684565730899</v>
      </c>
      <c r="D88">
        <v>365.07981388083101</v>
      </c>
      <c r="E88">
        <v>2027.20793220972</v>
      </c>
      <c r="F88">
        <v>446.64852266632897</v>
      </c>
      <c r="G88">
        <v>2027.1162056585899</v>
      </c>
      <c r="H88">
        <v>416.63540796401799</v>
      </c>
      <c r="I88">
        <v>2029.1957479553701</v>
      </c>
      <c r="J88">
        <v>611.352997747926</v>
      </c>
      <c r="K88">
        <v>2027.677554615</v>
      </c>
      <c r="L88">
        <v>283.98721524535199</v>
      </c>
      <c r="M88">
        <v>2027.89342897246</v>
      </c>
      <c r="N88">
        <v>277.09068130493</v>
      </c>
      <c r="O88">
        <v>2027.80263623109</v>
      </c>
      <c r="P88">
        <v>174.63529174565599</v>
      </c>
      <c r="Q88">
        <v>2027.8000249291299</v>
      </c>
      <c r="R88">
        <v>144.147906058345</v>
      </c>
    </row>
    <row r="89" spans="3:18">
      <c r="C89">
        <v>2027.8597431189801</v>
      </c>
      <c r="D89">
        <v>370.94703973725802</v>
      </c>
      <c r="E89">
        <v>2027.2879510955599</v>
      </c>
      <c r="F89">
        <v>459.59915183892201</v>
      </c>
      <c r="G89">
        <v>2027.1953252580199</v>
      </c>
      <c r="H89">
        <v>429.14899349548301</v>
      </c>
      <c r="I89">
        <v>2029.2863366069901</v>
      </c>
      <c r="J89">
        <v>618.41383009536003</v>
      </c>
      <c r="K89">
        <v>2027.7688333966601</v>
      </c>
      <c r="L89">
        <v>291.373122921007</v>
      </c>
      <c r="M89">
        <v>2027.9847028367899</v>
      </c>
      <c r="N89">
        <v>285.438420799428</v>
      </c>
      <c r="O89">
        <v>2027.89393908184</v>
      </c>
      <c r="P89">
        <v>177.31328578170601</v>
      </c>
      <c r="Q89">
        <v>2027.8908994088499</v>
      </c>
      <c r="R89">
        <v>147.34480640832501</v>
      </c>
    </row>
    <row r="90" spans="3:18">
      <c r="C90">
        <v>2027.9510286296399</v>
      </c>
      <c r="D90">
        <v>377.016756502916</v>
      </c>
      <c r="E90">
        <v>2027.3945705840999</v>
      </c>
      <c r="F90">
        <v>476.91180009869998</v>
      </c>
      <c r="G90">
        <v>2027.2699761818999</v>
      </c>
      <c r="H90">
        <v>441.39559399471</v>
      </c>
      <c r="I90">
        <v>2029.37761952958</v>
      </c>
      <c r="J90">
        <v>624.98977413409398</v>
      </c>
      <c r="K90">
        <v>2027.8601129547501</v>
      </c>
      <c r="L90">
        <v>298.60716241473898</v>
      </c>
      <c r="M90">
        <v>2028.0759624667101</v>
      </c>
      <c r="N90">
        <v>296.57041029584298</v>
      </c>
      <c r="O90">
        <v>2027.98524322664</v>
      </c>
      <c r="P90">
        <v>179.73816618121899</v>
      </c>
      <c r="Q90">
        <v>2027.9937000172199</v>
      </c>
      <c r="R90">
        <v>149.36407429565301</v>
      </c>
    </row>
    <row r="91" spans="3:18">
      <c r="C91">
        <v>2028.04231362268</v>
      </c>
      <c r="D91">
        <v>383.18771872318899</v>
      </c>
      <c r="E91">
        <v>2027.5270437771801</v>
      </c>
      <c r="F91">
        <v>495.972471734473</v>
      </c>
      <c r="G91">
        <v>2027.3453627531501</v>
      </c>
      <c r="H91">
        <v>453.65307275359299</v>
      </c>
      <c r="I91">
        <v>2029.46890219336</v>
      </c>
      <c r="J91">
        <v>631.61634090013501</v>
      </c>
      <c r="K91">
        <v>2027.9513925128399</v>
      </c>
      <c r="L91">
        <v>305.84120190847102</v>
      </c>
      <c r="M91">
        <v>2028.1672176969</v>
      </c>
      <c r="N91">
        <v>308.56298615648598</v>
      </c>
      <c r="O91">
        <v>2028.07654737143</v>
      </c>
      <c r="P91">
        <v>182.16304658073099</v>
      </c>
      <c r="Q91">
        <v>2028.0850013151301</v>
      </c>
      <c r="R91">
        <v>152.34580469554899</v>
      </c>
    </row>
    <row r="92" spans="3:18">
      <c r="C92">
        <v>2028.1291279219599</v>
      </c>
      <c r="D92">
        <v>389.48645654549898</v>
      </c>
      <c r="E92">
        <v>2027.6099923050399</v>
      </c>
      <c r="F92">
        <v>508.98187775951601</v>
      </c>
      <c r="G92">
        <v>2027.4103732282599</v>
      </c>
      <c r="H92">
        <v>465.02307272808901</v>
      </c>
      <c r="I92">
        <v>2029.5601851159399</v>
      </c>
      <c r="J92">
        <v>638.19228493886806</v>
      </c>
      <c r="K92">
        <v>2028.03747013926</v>
      </c>
      <c r="L92">
        <v>315.71423575124902</v>
      </c>
      <c r="M92">
        <v>2028.25847603278</v>
      </c>
      <c r="N92">
        <v>319.948089289439</v>
      </c>
      <c r="O92">
        <v>2028.16785048099</v>
      </c>
      <c r="P92">
        <v>184.79041788947401</v>
      </c>
      <c r="Q92">
        <v>2028.1763023542301</v>
      </c>
      <c r="R92">
        <v>155.378157822752</v>
      </c>
    </row>
    <row r="93" spans="3:18">
      <c r="C93">
        <v>2028.2248801169301</v>
      </c>
      <c r="D93">
        <v>396.21264821470999</v>
      </c>
      <c r="E93">
        <v>2027.69294138071</v>
      </c>
      <c r="F93">
        <v>521.88413348039398</v>
      </c>
      <c r="G93">
        <v>2027.4826801469101</v>
      </c>
      <c r="H93">
        <v>477.60428391228697</v>
      </c>
      <c r="I93">
        <v>2029.65146829734</v>
      </c>
      <c r="J93">
        <v>644.71760625029401</v>
      </c>
      <c r="K93">
        <v>2028.10901191279</v>
      </c>
      <c r="L93">
        <v>327.19533831283297</v>
      </c>
      <c r="M93">
        <v>2028.34972996894</v>
      </c>
      <c r="N93">
        <v>332.19377878662101</v>
      </c>
      <c r="O93">
        <v>2028.2591541081699</v>
      </c>
      <c r="P93">
        <v>187.31654374360201</v>
      </c>
      <c r="Q93">
        <v>2028.26760313453</v>
      </c>
      <c r="R93">
        <v>158.46113367726301</v>
      </c>
    </row>
    <row r="94" spans="3:18">
      <c r="C94">
        <v>2028.3161719663101</v>
      </c>
      <c r="D94">
        <v>401.04250992900899</v>
      </c>
      <c r="E94">
        <v>2027.7758941581101</v>
      </c>
      <c r="F94">
        <v>534.062328646683</v>
      </c>
      <c r="G94">
        <v>2027.5557044992499</v>
      </c>
      <c r="H94">
        <v>489.935233834771</v>
      </c>
      <c r="I94">
        <v>2029.74275096111</v>
      </c>
      <c r="J94">
        <v>651.34417301633505</v>
      </c>
      <c r="K94">
        <v>2028.1836641019499</v>
      </c>
      <c r="L94">
        <v>339.19444992299998</v>
      </c>
      <c r="M94">
        <v>2028.4409839051</v>
      </c>
      <c r="N94">
        <v>344.439468283802</v>
      </c>
      <c r="O94">
        <v>2028.35045531981</v>
      </c>
      <c r="P94">
        <v>190.31514838593301</v>
      </c>
      <c r="Q94">
        <v>2028.35890339721</v>
      </c>
      <c r="R94">
        <v>161.64535498638901</v>
      </c>
    </row>
    <row r="95" spans="3:18">
      <c r="C95">
        <v>2028.4145717041699</v>
      </c>
      <c r="D95">
        <v>407.37579769206201</v>
      </c>
      <c r="E95">
        <v>2027.8571081520799</v>
      </c>
      <c r="F95">
        <v>544.49937574620503</v>
      </c>
      <c r="G95">
        <v>2027.62638589022</v>
      </c>
      <c r="H95">
        <v>502.39661610875203</v>
      </c>
      <c r="I95">
        <v>2029.83403362489</v>
      </c>
      <c r="J95">
        <v>657.97073978237597</v>
      </c>
      <c r="K95">
        <v>2028.2583159747801</v>
      </c>
      <c r="L95">
        <v>351.25543375543299</v>
      </c>
      <c r="M95">
        <v>2028.53224198217</v>
      </c>
      <c r="N95">
        <v>355.87519414406199</v>
      </c>
      <c r="O95">
        <v>2028.4417556728699</v>
      </c>
      <c r="P95">
        <v>193.48169191727001</v>
      </c>
      <c r="Q95">
        <v>2028.4502041774999</v>
      </c>
      <c r="R95">
        <v>164.72833084090001</v>
      </c>
    </row>
    <row r="96" spans="3:18">
      <c r="C96">
        <v>2028.4952884049001</v>
      </c>
      <c r="D96">
        <v>412.32576544879799</v>
      </c>
      <c r="E96">
        <v>2027.9296388134101</v>
      </c>
      <c r="F96">
        <v>555.55525121944197</v>
      </c>
      <c r="G96">
        <v>2027.7072213209799</v>
      </c>
      <c r="H96">
        <v>515.34070734854004</v>
      </c>
      <c r="I96">
        <v>2029.92531654748</v>
      </c>
      <c r="J96">
        <v>664.54668382110901</v>
      </c>
      <c r="K96">
        <v>2028.33296816394</v>
      </c>
      <c r="L96">
        <v>363.25454536560102</v>
      </c>
      <c r="M96">
        <v>2028.6234974711699</v>
      </c>
      <c r="N96">
        <v>367.81714727739802</v>
      </c>
      <c r="O96">
        <v>2028.53306033117</v>
      </c>
      <c r="P96">
        <v>195.806130397521</v>
      </c>
      <c r="Q96">
        <v>2028.5415052166099</v>
      </c>
      <c r="R96">
        <v>167.76068396810399</v>
      </c>
    </row>
    <row r="97" spans="3:18">
      <c r="C97">
        <v>2028.59735470896</v>
      </c>
      <c r="D97">
        <v>418.98674704231598</v>
      </c>
      <c r="E97">
        <v>2028.00828151522</v>
      </c>
      <c r="F97">
        <v>568.54550245407597</v>
      </c>
      <c r="G97">
        <v>2027.7781114566801</v>
      </c>
      <c r="H97">
        <v>527.66771546513496</v>
      </c>
      <c r="I97">
        <v>2029.9917052521801</v>
      </c>
      <c r="J97">
        <v>669.10920981607001</v>
      </c>
      <c r="K97">
        <v>2028.4076200367799</v>
      </c>
      <c r="L97">
        <v>375.315529198033</v>
      </c>
      <c r="M97">
        <v>2028.7147514073299</v>
      </c>
      <c r="N97">
        <v>380.06283677457998</v>
      </c>
      <c r="O97">
        <v>2028.6243665464201</v>
      </c>
      <c r="P97">
        <v>197.82602897857299</v>
      </c>
      <c r="Q97">
        <v>2028.63280547929</v>
      </c>
      <c r="R97">
        <v>170.94490527722999</v>
      </c>
    </row>
    <row r="98" spans="3:18">
      <c r="C98">
        <v>2028.67353812234</v>
      </c>
      <c r="D98">
        <v>423.99653613496002</v>
      </c>
      <c r="G98">
        <v>2027.85886871805</v>
      </c>
      <c r="H98">
        <v>541.97986126912394</v>
      </c>
      <c r="K98">
        <v>2028.47812574318</v>
      </c>
      <c r="L98">
        <v>386.47959355813703</v>
      </c>
      <c r="M98">
        <v>2028.80046999609</v>
      </c>
      <c r="N98">
        <v>392.506379105912</v>
      </c>
      <c r="O98">
        <v>2028.7156730204799</v>
      </c>
      <c r="P98">
        <v>199.79530483231699</v>
      </c>
      <c r="Q98">
        <v>2028.7241062595899</v>
      </c>
      <c r="R98">
        <v>174.027881131741</v>
      </c>
    </row>
    <row r="99" spans="3:18">
      <c r="C99">
        <v>2028.7760509319501</v>
      </c>
      <c r="D99">
        <v>432.867400178342</v>
      </c>
      <c r="G99">
        <v>2027.93352176127</v>
      </c>
      <c r="H99">
        <v>553.81191787917703</v>
      </c>
      <c r="K99">
        <v>2028.55277499056</v>
      </c>
      <c r="L99">
        <v>399.05411683536801</v>
      </c>
      <c r="M99">
        <v>2028.89726523221</v>
      </c>
      <c r="N99">
        <v>403.389893040868</v>
      </c>
      <c r="O99">
        <v>2028.8069784593099</v>
      </c>
      <c r="P99">
        <v>201.967071595292</v>
      </c>
      <c r="Q99">
        <v>2028.81540703988</v>
      </c>
      <c r="R99">
        <v>177.110856986252</v>
      </c>
    </row>
    <row r="100" spans="3:18">
      <c r="C100">
        <v>2028.8574156219499</v>
      </c>
      <c r="D100">
        <v>439.94163156670402</v>
      </c>
      <c r="G100">
        <v>2028.0164737003699</v>
      </c>
      <c r="H100">
        <v>566.15408535219501</v>
      </c>
      <c r="K100">
        <v>2028.6270113683199</v>
      </c>
      <c r="L100">
        <v>411.19723147947099</v>
      </c>
      <c r="M100">
        <v>2028.9807793964301</v>
      </c>
      <c r="N100">
        <v>414.01243872450499</v>
      </c>
      <c r="O100">
        <v>2028.8982844157499</v>
      </c>
      <c r="P100">
        <v>204.03759290365201</v>
      </c>
      <c r="Q100">
        <v>2028.9067080789901</v>
      </c>
      <c r="R100">
        <v>180.14321011345501</v>
      </c>
    </row>
    <row r="101" spans="3:18">
      <c r="C101">
        <v>2029.0132606381301</v>
      </c>
      <c r="D101">
        <v>447.52653423875103</v>
      </c>
      <c r="G101">
        <v>2028.0994317351499</v>
      </c>
      <c r="H101">
        <v>577.30394028230398</v>
      </c>
      <c r="K101">
        <v>2028.7110630352499</v>
      </c>
      <c r="L101">
        <v>424.93585576422601</v>
      </c>
      <c r="M101">
        <v>2029.0797899270101</v>
      </c>
      <c r="N101">
        <v>424.59079476023902</v>
      </c>
      <c r="O101">
        <v>2028.9895841866701</v>
      </c>
      <c r="P101">
        <v>207.31800315941001</v>
      </c>
      <c r="Q101">
        <v>2028.9980091180901</v>
      </c>
      <c r="R101">
        <v>183.17556324065899</v>
      </c>
    </row>
    <row r="102" spans="3:18">
      <c r="C102">
        <v>2029.1045464076001</v>
      </c>
      <c r="D102">
        <v>453.54562827710203</v>
      </c>
      <c r="G102">
        <v>2028.18690821675</v>
      </c>
      <c r="H102">
        <v>590.34058257510799</v>
      </c>
      <c r="K102">
        <v>2028.8320973157299</v>
      </c>
      <c r="L102">
        <v>441.76481825533898</v>
      </c>
      <c r="M102">
        <v>2029.17106301491</v>
      </c>
      <c r="N102">
        <v>433.09040243665999</v>
      </c>
      <c r="O102">
        <v>2029.0762203684701</v>
      </c>
      <c r="P102">
        <v>209.42348773787899</v>
      </c>
      <c r="Q102">
        <v>2029.0799714156999</v>
      </c>
      <c r="R102">
        <v>186.11983903372399</v>
      </c>
    </row>
    <row r="103" spans="3:18">
      <c r="C103">
        <v>2029.1958316594501</v>
      </c>
      <c r="D103">
        <v>459.66596777006703</v>
      </c>
      <c r="G103">
        <v>2028.2376845123599</v>
      </c>
      <c r="H103">
        <v>597.963143983186</v>
      </c>
      <c r="K103">
        <v>2028.8974696821001</v>
      </c>
      <c r="L103">
        <v>454.92995557405698</v>
      </c>
      <c r="M103">
        <v>2029.2623368792399</v>
      </c>
      <c r="N103">
        <v>441.43814193115799</v>
      </c>
      <c r="O103">
        <v>2029.17574813638</v>
      </c>
      <c r="P103">
        <v>212.58384888102</v>
      </c>
      <c r="Q103">
        <v>2029.1711214356701</v>
      </c>
      <c r="R103">
        <v>189.695568069503</v>
      </c>
    </row>
    <row r="104" spans="3:18">
      <c r="C104">
        <v>2029.2871169113</v>
      </c>
      <c r="D104">
        <v>465.78630726303197</v>
      </c>
      <c r="G104">
        <v>2028.31097053284</v>
      </c>
      <c r="H104">
        <v>606.55582373006905</v>
      </c>
      <c r="K104">
        <v>2028.9628644900699</v>
      </c>
      <c r="L104">
        <v>463.70551690146601</v>
      </c>
      <c r="M104">
        <v>2029.3536097083399</v>
      </c>
      <c r="N104">
        <v>449.988372334887</v>
      </c>
      <c r="O104">
        <v>2029.2634950423501</v>
      </c>
      <c r="P104">
        <v>214.90143722977601</v>
      </c>
      <c r="Q104">
        <v>2029.2601435009101</v>
      </c>
      <c r="R104">
        <v>193.89038281548699</v>
      </c>
    </row>
    <row r="105" spans="3:18">
      <c r="C105">
        <v>2029.37840216315</v>
      </c>
      <c r="D105">
        <v>471.90664675599697</v>
      </c>
      <c r="G105">
        <v>2028.39392353224</v>
      </c>
      <c r="H105">
        <v>618.69059872819605</v>
      </c>
      <c r="K105">
        <v>2029.01728180634</v>
      </c>
      <c r="L105">
        <v>472.87310605114101</v>
      </c>
      <c r="M105">
        <v>2029.4448833138599</v>
      </c>
      <c r="N105">
        <v>458.386734556693</v>
      </c>
      <c r="O105">
        <v>2029.35479815191</v>
      </c>
      <c r="P105">
        <v>217.528808538519</v>
      </c>
      <c r="Q105">
        <v>2029.3549040411101</v>
      </c>
      <c r="R105">
        <v>196.81688125153499</v>
      </c>
    </row>
    <row r="106" spans="3:18">
      <c r="C106">
        <v>2029.46968793262</v>
      </c>
      <c r="D106">
        <v>477.92574079434701</v>
      </c>
      <c r="G106">
        <v>2028.4810281387599</v>
      </c>
      <c r="H106">
        <v>630.65809097569695</v>
      </c>
      <c r="K106">
        <v>2029.1002333822901</v>
      </c>
      <c r="L106">
        <v>485.28630604945999</v>
      </c>
      <c r="M106">
        <v>2029.5361569193699</v>
      </c>
      <c r="N106">
        <v>466.785096778499</v>
      </c>
      <c r="O106">
        <v>2029.44610229671</v>
      </c>
      <c r="P106">
        <v>219.95368893803101</v>
      </c>
      <c r="Q106">
        <v>2029.4462073725099</v>
      </c>
      <c r="R106">
        <v>199.40086165115699</v>
      </c>
    </row>
    <row r="107" spans="3:18">
      <c r="C107">
        <v>2029.56872189663</v>
      </c>
      <c r="D107">
        <v>483.92051893349702</v>
      </c>
      <c r="G107">
        <v>2028.5722820749199</v>
      </c>
      <c r="H107">
        <v>642.90378047287902</v>
      </c>
      <c r="K107">
        <v>2029.1831846735499</v>
      </c>
      <c r="L107">
        <v>497.75519104781802</v>
      </c>
      <c r="M107">
        <v>2029.6274300072801</v>
      </c>
      <c r="N107">
        <v>475.28470445492002</v>
      </c>
      <c r="O107">
        <v>2029.5374061826899</v>
      </c>
      <c r="P107">
        <v>222.42919206485101</v>
      </c>
      <c r="Q107">
        <v>2029.53750996446</v>
      </c>
      <c r="R107">
        <v>202.12947841451501</v>
      </c>
    </row>
    <row r="108" spans="3:18">
      <c r="C108">
        <v>2029.61491905601</v>
      </c>
      <c r="D108">
        <v>486.76555495780099</v>
      </c>
      <c r="G108">
        <v>2028.65938383457</v>
      </c>
      <c r="H108">
        <v>655.42812272076299</v>
      </c>
      <c r="K108">
        <v>2029.2661362495001</v>
      </c>
      <c r="L108">
        <v>510.168391046137</v>
      </c>
      <c r="M108">
        <v>2029.7214641819201</v>
      </c>
      <c r="N108">
        <v>484.97379438939498</v>
      </c>
      <c r="O108">
        <v>2029.6287092922501</v>
      </c>
      <c r="P108">
        <v>225.056563373594</v>
      </c>
      <c r="Q108">
        <v>2029.62881077064</v>
      </c>
      <c r="R108">
        <v>205.207391996295</v>
      </c>
    </row>
    <row r="109" spans="3:18">
      <c r="C109">
        <v>2029.6723498972401</v>
      </c>
      <c r="D109">
        <v>490.97503124667998</v>
      </c>
      <c r="G109">
        <v>2028.7464884410899</v>
      </c>
      <c r="H109">
        <v>667.395614968264</v>
      </c>
      <c r="K109">
        <v>2029.3490878254599</v>
      </c>
      <c r="L109">
        <v>522.58159104445599</v>
      </c>
      <c r="M109">
        <v>2029.8088596922801</v>
      </c>
      <c r="N109">
        <v>494.166302284952</v>
      </c>
      <c r="O109">
        <v>2029.7200131782399</v>
      </c>
      <c r="P109">
        <v>227.532066500414</v>
      </c>
      <c r="Q109">
        <v>2029.72010557248</v>
      </c>
      <c r="R109">
        <v>209.459752851611</v>
      </c>
    </row>
    <row r="110" spans="3:18">
      <c r="C110">
        <v>2029.74354801339</v>
      </c>
      <c r="D110">
        <v>495.44074860504003</v>
      </c>
      <c r="G110">
        <v>2028.8377423772499</v>
      </c>
      <c r="H110">
        <v>679.64130446544596</v>
      </c>
      <c r="K110">
        <v>2029.4320396861001</v>
      </c>
      <c r="L110">
        <v>534.93910604273697</v>
      </c>
      <c r="M110">
        <v>2029.9012446024401</v>
      </c>
      <c r="N110">
        <v>501.69669659021503</v>
      </c>
      <c r="O110">
        <v>2029.8113173230299</v>
      </c>
      <c r="P110">
        <v>229.956946899927</v>
      </c>
      <c r="Q110">
        <v>2029.81140531755</v>
      </c>
      <c r="R110">
        <v>212.74521961535299</v>
      </c>
    </row>
    <row r="111" spans="3:18">
      <c r="C111">
        <v>2029.82751217282</v>
      </c>
      <c r="D111">
        <v>500.82487157013497</v>
      </c>
      <c r="G111">
        <v>2028.9248441369</v>
      </c>
      <c r="H111">
        <v>692.16564671333003</v>
      </c>
      <c r="K111">
        <v>2029.51499126205</v>
      </c>
      <c r="L111">
        <v>547.35230604105595</v>
      </c>
      <c r="M111">
        <v>2029.9800765483001</v>
      </c>
      <c r="N111">
        <v>508.02246879005901</v>
      </c>
      <c r="O111">
        <v>2029.9026204325901</v>
      </c>
      <c r="P111">
        <v>232.58431820867</v>
      </c>
      <c r="Q111">
        <v>2029.9027048038099</v>
      </c>
      <c r="R111">
        <v>216.08130910640199</v>
      </c>
    </row>
    <row r="112" spans="3:18">
      <c r="C112">
        <v>2029.9261162406999</v>
      </c>
      <c r="D112">
        <v>508.12668941319299</v>
      </c>
      <c r="G112">
        <v>2029.00365008416</v>
      </c>
      <c r="H112">
        <v>703.57674446147098</v>
      </c>
      <c r="K112">
        <v>2029.5979425533101</v>
      </c>
      <c r="L112">
        <v>559.82119103941397</v>
      </c>
      <c r="O112">
        <v>2029.9814741298301</v>
      </c>
      <c r="P112">
        <v>234.655522768563</v>
      </c>
      <c r="Q112">
        <v>2029.9815541983701</v>
      </c>
      <c r="R112">
        <v>218.99411650778299</v>
      </c>
    </row>
    <row r="113" spans="3:12">
      <c r="C113">
        <v>2029.9925078598701</v>
      </c>
      <c r="D113">
        <v>512.11914436882205</v>
      </c>
      <c r="G113">
        <v>2029.0741502549699</v>
      </c>
      <c r="H113">
        <v>715.82357271120998</v>
      </c>
      <c r="K113">
        <v>2029.68089441395</v>
      </c>
      <c r="L113">
        <v>572.17870603769495</v>
      </c>
    </row>
    <row r="114" spans="3:12">
      <c r="G114">
        <v>2029.1405018078699</v>
      </c>
      <c r="H114">
        <v>727.65299121117198</v>
      </c>
      <c r="K114">
        <v>2029.76799425842</v>
      </c>
      <c r="L114">
        <v>585.07765646765495</v>
      </c>
    </row>
    <row r="115" spans="3:12">
      <c r="G115">
        <v>2029.2110001598301</v>
      </c>
      <c r="H115">
        <v>740.25558473893295</v>
      </c>
      <c r="K115">
        <v>2029.8509402053101</v>
      </c>
      <c r="L115">
        <v>598.59190078491395</v>
      </c>
    </row>
    <row r="116" spans="3:12">
      <c r="G116">
        <v>2029.28149965845</v>
      </c>
      <c r="H116">
        <v>752.63389146098405</v>
      </c>
      <c r="K116">
        <v>2029.9331409219301</v>
      </c>
      <c r="L116">
        <v>610.25735507412901</v>
      </c>
    </row>
    <row r="117" spans="3:12">
      <c r="G117">
        <v>2029.34785156721</v>
      </c>
      <c r="H117">
        <v>764.39370371089899</v>
      </c>
      <c r="K117">
        <v>2029.9878184050101</v>
      </c>
      <c r="L117">
        <v>617.48944253105003</v>
      </c>
    </row>
    <row r="118" spans="3:12">
      <c r="G118">
        <v>2029.41834960285</v>
      </c>
      <c r="H118">
        <v>777.058169460925</v>
      </c>
    </row>
    <row r="119" spans="3:12">
      <c r="G119">
        <v>2029.4893102567301</v>
      </c>
      <c r="H119">
        <v>789.44418490514602</v>
      </c>
    </row>
    <row r="120" spans="3:12">
      <c r="G120">
        <v>2029.55106511292</v>
      </c>
      <c r="H120">
        <v>798.29073145917903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C3D1-ABC2-4CEE-9ACD-F9A59E4243A0}">
  <sheetPr>
    <tabColor rgb="FF00B050"/>
  </sheetPr>
  <dimension ref="A1:D8"/>
  <sheetViews>
    <sheetView workbookViewId="0">
      <selection activeCell="C26" sqref="C26"/>
    </sheetView>
  </sheetViews>
  <sheetFormatPr defaultRowHeight="14.25"/>
  <cols>
    <col min="1" max="1" width="22" customWidth="1"/>
  </cols>
  <sheetData>
    <row r="1" spans="1:4">
      <c r="A1" s="1" t="s">
        <v>34</v>
      </c>
      <c r="B1" s="1">
        <v>2020</v>
      </c>
      <c r="C1" s="1">
        <v>2021</v>
      </c>
      <c r="D1" s="1">
        <v>2022</v>
      </c>
    </row>
    <row r="2" spans="1:4">
      <c r="A2" s="2" t="s">
        <v>35</v>
      </c>
      <c r="B2" s="2">
        <v>375</v>
      </c>
      <c r="C2" s="2">
        <v>500</v>
      </c>
      <c r="D2" s="2">
        <v>750</v>
      </c>
    </row>
    <row r="3" spans="1:4">
      <c r="A3" s="2" t="s">
        <v>36</v>
      </c>
      <c r="B3" s="2">
        <v>500</v>
      </c>
      <c r="C3" s="2">
        <v>700</v>
      </c>
      <c r="D3" s="2">
        <v>950</v>
      </c>
    </row>
    <row r="4" spans="1:4">
      <c r="A4" s="2" t="s">
        <v>37</v>
      </c>
      <c r="B4" s="2">
        <v>500</v>
      </c>
      <c r="C4" s="2">
        <v>725</v>
      </c>
      <c r="D4" s="2">
        <v>1100</v>
      </c>
    </row>
    <row r="5" spans="1:4">
      <c r="A5" s="2" t="s">
        <v>38</v>
      </c>
      <c r="B5" s="2">
        <v>460</v>
      </c>
      <c r="C5" s="2">
        <v>700</v>
      </c>
      <c r="D5" s="2">
        <v>1120</v>
      </c>
    </row>
    <row r="6" spans="1:4">
      <c r="A6" s="2" t="s">
        <v>39</v>
      </c>
      <c r="B6" s="2">
        <v>700</v>
      </c>
      <c r="C6" s="2">
        <v>1100</v>
      </c>
      <c r="D6" s="2">
        <v>1380</v>
      </c>
    </row>
    <row r="7" spans="1:4">
      <c r="A7" s="2" t="s">
        <v>40</v>
      </c>
      <c r="B7" s="2">
        <v>480</v>
      </c>
      <c r="C7" s="2">
        <v>830</v>
      </c>
      <c r="D7" s="2">
        <v>1470</v>
      </c>
    </row>
    <row r="8" spans="1:4">
      <c r="A8" s="2" t="s">
        <v>41</v>
      </c>
      <c r="B8" s="2">
        <v>770</v>
      </c>
      <c r="C8" s="2">
        <v>1130</v>
      </c>
      <c r="D8" s="2">
        <v>1680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3B5B-4E3D-4785-89C1-1BD8209703BB}">
  <sheetPr>
    <tabColor rgb="FF00B050"/>
  </sheetPr>
  <dimension ref="A1:D11"/>
  <sheetViews>
    <sheetView workbookViewId="0">
      <selection activeCell="H8" sqref="H8"/>
    </sheetView>
  </sheetViews>
  <sheetFormatPr defaultRowHeight="14.25"/>
  <cols>
    <col min="1" max="1" width="4.7109375" bestFit="1" customWidth="1"/>
    <col min="2" max="2" width="12" bestFit="1" customWidth="1"/>
    <col min="3" max="3" width="44.7109375" customWidth="1"/>
    <col min="4" max="4" width="46.5703125" customWidth="1"/>
    <col min="5" max="5" width="11.7109375" bestFit="1" customWidth="1"/>
  </cols>
  <sheetData>
    <row r="1" spans="1:4" ht="28.5">
      <c r="A1" t="s">
        <v>1</v>
      </c>
      <c r="B1" s="12" t="s">
        <v>42</v>
      </c>
      <c r="C1" s="12" t="s">
        <v>43</v>
      </c>
      <c r="D1" s="12" t="s">
        <v>44</v>
      </c>
    </row>
    <row r="2" spans="1:4">
      <c r="A2">
        <v>2021</v>
      </c>
      <c r="B2">
        <v>89.148191365227504</v>
      </c>
    </row>
    <row r="3" spans="1:4">
      <c r="A3">
        <v>2022</v>
      </c>
      <c r="B3">
        <v>75.145857642940499</v>
      </c>
    </row>
    <row r="4" spans="1:4">
      <c r="A4">
        <v>2023</v>
      </c>
      <c r="B4">
        <v>114.35239206534401</v>
      </c>
    </row>
    <row r="5" spans="1:4">
      <c r="A5">
        <v>2024</v>
      </c>
      <c r="B5">
        <v>114.119019836639</v>
      </c>
    </row>
    <row r="6" spans="1:4">
      <c r="A6">
        <v>2025</v>
      </c>
      <c r="C6">
        <v>137.92298716453001</v>
      </c>
      <c r="D6">
        <v>49.00816802800199</v>
      </c>
    </row>
    <row r="7" spans="1:4">
      <c r="A7">
        <v>2026</v>
      </c>
      <c r="C7">
        <v>137.45624270711701</v>
      </c>
      <c r="D7">
        <v>78.646441073512989</v>
      </c>
    </row>
    <row r="8" spans="1:4">
      <c r="A8">
        <v>2027</v>
      </c>
      <c r="C8">
        <v>157.526254375729</v>
      </c>
      <c r="D8">
        <v>84.014002333722004</v>
      </c>
    </row>
    <row r="9" spans="1:4">
      <c r="A9">
        <v>2028</v>
      </c>
      <c r="C9">
        <v>165.694282380396</v>
      </c>
      <c r="D9">
        <v>100.816802800467</v>
      </c>
    </row>
    <row r="10" spans="1:4">
      <c r="A10">
        <v>2029</v>
      </c>
      <c r="C10">
        <v>180.63010501750199</v>
      </c>
      <c r="D10">
        <v>109.21820303383902</v>
      </c>
    </row>
    <row r="11" spans="1:4">
      <c r="A11">
        <v>2030</v>
      </c>
      <c r="C11">
        <v>190.19836639439899</v>
      </c>
      <c r="D11">
        <v>125.78763127187801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9D1C-8005-4650-A663-3A7B60BD45C4}">
  <sheetPr>
    <tabColor rgb="FF00B050"/>
  </sheetPr>
  <dimension ref="A1:B11"/>
  <sheetViews>
    <sheetView workbookViewId="0">
      <selection activeCell="G8" sqref="G8"/>
    </sheetView>
  </sheetViews>
  <sheetFormatPr defaultRowHeight="14.25"/>
  <cols>
    <col min="1" max="1" width="4.7109375" bestFit="1" customWidth="1"/>
    <col min="2" max="2" width="11.7109375" bestFit="1" customWidth="1"/>
  </cols>
  <sheetData>
    <row r="1" spans="1:2" ht="85.5">
      <c r="A1" t="s">
        <v>1</v>
      </c>
      <c r="B1" s="14" t="s">
        <v>45</v>
      </c>
    </row>
    <row r="2" spans="1:2">
      <c r="A2">
        <v>2021</v>
      </c>
      <c r="B2" s="17">
        <v>803.72960372960495</v>
      </c>
    </row>
    <row r="3" spans="1:2">
      <c r="A3">
        <v>2022</v>
      </c>
      <c r="B3" s="17">
        <v>908.15850815850899</v>
      </c>
    </row>
    <row r="4" spans="1:2">
      <c r="A4">
        <v>2023</v>
      </c>
      <c r="B4" s="17">
        <v>1020.04662004661</v>
      </c>
    </row>
    <row r="5" spans="1:2">
      <c r="A5">
        <v>2024</v>
      </c>
      <c r="B5" s="17">
        <v>1182.2843822843799</v>
      </c>
    </row>
    <row r="6" spans="1:2">
      <c r="A6">
        <v>2025</v>
      </c>
      <c r="B6" s="17">
        <v>1366.8997668997599</v>
      </c>
    </row>
    <row r="7" spans="1:2">
      <c r="A7">
        <v>2026</v>
      </c>
      <c r="B7" s="17">
        <v>1596.2703962703899</v>
      </c>
    </row>
    <row r="8" spans="1:2">
      <c r="A8">
        <v>2027</v>
      </c>
      <c r="B8" s="17">
        <v>1831.23543123543</v>
      </c>
    </row>
    <row r="9" spans="1:2">
      <c r="A9">
        <v>2028</v>
      </c>
      <c r="B9" s="17">
        <v>2027.03962703962</v>
      </c>
    </row>
    <row r="10" spans="1:2">
      <c r="A10">
        <v>2029</v>
      </c>
      <c r="B10" s="17">
        <v>2379.4871794871701</v>
      </c>
    </row>
    <row r="11" spans="1:2">
      <c r="A11">
        <v>2030</v>
      </c>
      <c r="B11" s="17">
        <v>2687.17948717948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B7D8-AB71-414A-A0B6-F63449F4BECF}">
  <sheetPr>
    <tabColor rgb="FF00B050"/>
  </sheetPr>
  <dimension ref="A1:B4"/>
  <sheetViews>
    <sheetView workbookViewId="0">
      <selection activeCell="D27" sqref="D27"/>
    </sheetView>
  </sheetViews>
  <sheetFormatPr defaultRowHeight="14.25"/>
  <cols>
    <col min="2" max="2" width="30.7109375" customWidth="1"/>
  </cols>
  <sheetData>
    <row r="1" spans="1:2">
      <c r="A1" t="s">
        <v>1</v>
      </c>
      <c r="B1" t="s">
        <v>46</v>
      </c>
    </row>
    <row r="2" spans="1:2">
      <c r="A2">
        <v>2021</v>
      </c>
      <c r="B2">
        <v>0.53500000000000003</v>
      </c>
    </row>
    <row r="3" spans="1:2">
      <c r="A3">
        <v>2030</v>
      </c>
      <c r="B3">
        <v>70</v>
      </c>
    </row>
    <row r="4" spans="1:2">
      <c r="A4">
        <v>2050</v>
      </c>
      <c r="B4">
        <v>350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0F18-6A09-491B-AFCE-49D5F291126E}">
  <sheetPr>
    <tabColor rgb="FF00B050"/>
  </sheetPr>
  <dimension ref="A1:B5"/>
  <sheetViews>
    <sheetView workbookViewId="0">
      <selection activeCell="E27" sqref="E27"/>
    </sheetView>
  </sheetViews>
  <sheetFormatPr defaultRowHeight="14.25"/>
  <cols>
    <col min="1" max="1" width="26.28515625" customWidth="1"/>
    <col min="2" max="2" width="17.28515625" customWidth="1"/>
  </cols>
  <sheetData>
    <row r="1" spans="1:2" ht="42.75">
      <c r="A1" s="1" t="s">
        <v>47</v>
      </c>
      <c r="B1" s="1" t="s">
        <v>48</v>
      </c>
    </row>
    <row r="2" spans="1:2">
      <c r="A2" s="2" t="s">
        <v>49</v>
      </c>
      <c r="B2" s="3">
        <v>1650</v>
      </c>
    </row>
    <row r="3" spans="1:2">
      <c r="A3" s="2" t="s">
        <v>50</v>
      </c>
      <c r="B3" s="3">
        <v>1200</v>
      </c>
    </row>
    <row r="4" spans="1:2">
      <c r="A4" s="2" t="s">
        <v>51</v>
      </c>
      <c r="B4" s="3">
        <v>44000</v>
      </c>
    </row>
    <row r="5" spans="1:2">
      <c r="A5" s="2" t="s">
        <v>52</v>
      </c>
      <c r="B5" s="3">
        <v>29500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7A26-82A9-4E7C-8C11-33BF38F14AFB}">
  <sheetPr>
    <tabColor rgb="FF00B050"/>
  </sheetPr>
  <dimension ref="A1:I9"/>
  <sheetViews>
    <sheetView workbookViewId="0">
      <selection activeCell="K31" sqref="K31"/>
    </sheetView>
  </sheetViews>
  <sheetFormatPr defaultRowHeight="14.25"/>
  <cols>
    <col min="1" max="1" width="19" customWidth="1"/>
  </cols>
  <sheetData>
    <row r="1" spans="1:9" ht="28.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</row>
    <row r="2" spans="1:9">
      <c r="A2" s="2" t="s">
        <v>6</v>
      </c>
      <c r="B2" s="2">
        <v>12</v>
      </c>
      <c r="C2" s="2">
        <v>3</v>
      </c>
      <c r="D2" s="2">
        <v>2</v>
      </c>
      <c r="E2" s="2">
        <v>5</v>
      </c>
      <c r="F2" s="2">
        <v>5</v>
      </c>
      <c r="G2" s="2">
        <v>18</v>
      </c>
      <c r="H2" s="2">
        <v>4</v>
      </c>
      <c r="I2" s="2">
        <v>51</v>
      </c>
    </row>
    <row r="3" spans="1:9">
      <c r="A3" s="2" t="s">
        <v>62</v>
      </c>
      <c r="B3" s="2">
        <v>5</v>
      </c>
      <c r="C3" s="2">
        <v>2</v>
      </c>
      <c r="D3" s="2">
        <v>1</v>
      </c>
      <c r="E3" s="2">
        <v>6</v>
      </c>
      <c r="F3" s="2">
        <v>4</v>
      </c>
      <c r="G3" s="2">
        <v>12</v>
      </c>
      <c r="H3" s="2">
        <v>5</v>
      </c>
      <c r="I3" s="2">
        <v>65</v>
      </c>
    </row>
    <row r="4" spans="1:9">
      <c r="A4" s="2" t="s">
        <v>63</v>
      </c>
      <c r="B4" s="2">
        <v>28</v>
      </c>
      <c r="C4" s="2">
        <v>1</v>
      </c>
      <c r="D4" s="2">
        <v>1</v>
      </c>
      <c r="E4" s="2">
        <v>2</v>
      </c>
      <c r="F4" s="2">
        <v>4</v>
      </c>
      <c r="G4" s="2">
        <v>18</v>
      </c>
      <c r="H4" s="2">
        <v>3</v>
      </c>
      <c r="I4" s="2">
        <v>43</v>
      </c>
    </row>
    <row r="5" spans="1:9">
      <c r="A5" s="2" t="s">
        <v>34</v>
      </c>
      <c r="B5" s="2">
        <v>14</v>
      </c>
      <c r="C5" s="2">
        <v>2</v>
      </c>
      <c r="D5" s="2">
        <v>1</v>
      </c>
      <c r="E5" s="2">
        <v>4</v>
      </c>
      <c r="F5" s="2">
        <v>5</v>
      </c>
      <c r="G5" s="2">
        <v>14</v>
      </c>
      <c r="H5" s="2">
        <v>4</v>
      </c>
      <c r="I5" s="2">
        <v>56</v>
      </c>
    </row>
    <row r="6" spans="1:9">
      <c r="A6" s="2" t="s">
        <v>64</v>
      </c>
      <c r="B6" s="2">
        <v>21</v>
      </c>
      <c r="C6" s="2">
        <v>2</v>
      </c>
      <c r="D6" s="2">
        <v>1</v>
      </c>
      <c r="E6" s="2">
        <v>5</v>
      </c>
      <c r="F6" s="2">
        <v>6</v>
      </c>
      <c r="G6" s="2">
        <v>19</v>
      </c>
      <c r="H6" s="2">
        <v>3</v>
      </c>
      <c r="I6" s="2">
        <v>43</v>
      </c>
    </row>
    <row r="7" spans="1:9">
      <c r="A7" s="2" t="s">
        <v>65</v>
      </c>
      <c r="B7" s="2">
        <v>6</v>
      </c>
      <c r="C7" s="2">
        <v>1</v>
      </c>
      <c r="D7" s="2">
        <v>1</v>
      </c>
      <c r="E7" s="2">
        <v>3</v>
      </c>
      <c r="F7" s="2">
        <v>4</v>
      </c>
      <c r="G7" s="2">
        <v>11</v>
      </c>
      <c r="H7" s="2">
        <v>13</v>
      </c>
      <c r="I7" s="2">
        <v>61</v>
      </c>
    </row>
    <row r="8" spans="1:9" ht="28.5">
      <c r="A8" s="2" t="s">
        <v>66</v>
      </c>
      <c r="B8" s="2">
        <v>22</v>
      </c>
      <c r="C8" s="2">
        <v>1</v>
      </c>
      <c r="D8" s="2">
        <v>2</v>
      </c>
      <c r="E8" s="2">
        <v>5</v>
      </c>
      <c r="F8" s="2">
        <v>5</v>
      </c>
      <c r="G8" s="2">
        <v>20</v>
      </c>
      <c r="H8" s="2">
        <v>2</v>
      </c>
      <c r="I8" s="2">
        <v>43</v>
      </c>
    </row>
    <row r="9" spans="1:9">
      <c r="A9" s="2" t="s">
        <v>67</v>
      </c>
      <c r="B9" s="2">
        <v>1</v>
      </c>
      <c r="C9" s="2">
        <v>0</v>
      </c>
      <c r="D9" s="2">
        <v>1</v>
      </c>
      <c r="E9" s="2">
        <v>3</v>
      </c>
      <c r="F9" s="2">
        <v>5</v>
      </c>
      <c r="G9" s="2">
        <v>18</v>
      </c>
      <c r="H9" s="2">
        <v>4</v>
      </c>
      <c r="I9" s="2">
        <v>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9004-74EB-48D4-94BF-FFA90DF06068}">
  <sheetPr>
    <tabColor rgb="FF00B0F0"/>
  </sheetPr>
  <dimension ref="A1:I4"/>
  <sheetViews>
    <sheetView workbookViewId="0">
      <selection sqref="A1:I1"/>
    </sheetView>
  </sheetViews>
  <sheetFormatPr defaultRowHeight="14.25"/>
  <cols>
    <col min="1" max="1" width="7" customWidth="1"/>
    <col min="2" max="2" width="12.85546875" customWidth="1"/>
    <col min="3" max="3" width="16.7109375" bestFit="1" customWidth="1"/>
    <col min="4" max="4" width="11.7109375" bestFit="1" customWidth="1"/>
    <col min="7" max="7" width="3.7109375" customWidth="1"/>
    <col min="8" max="8" width="22" customWidth="1"/>
    <col min="9" max="9" width="17.5703125" customWidth="1"/>
  </cols>
  <sheetData>
    <row r="1" spans="1:9" s="12" customFormat="1" ht="28.5">
      <c r="A1" s="11" t="s">
        <v>1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/>
      <c r="H1" s="13" t="s">
        <v>73</v>
      </c>
      <c r="I1" s="14" t="s">
        <v>74</v>
      </c>
    </row>
    <row r="2" spans="1:9">
      <c r="A2" s="10">
        <v>2024</v>
      </c>
      <c r="B2" s="10">
        <v>26.7412140575079</v>
      </c>
      <c r="C2" s="10">
        <v>7.6996805111820796</v>
      </c>
      <c r="D2" s="10">
        <v>19.04153354632582</v>
      </c>
      <c r="E2" s="10"/>
      <c r="F2" s="10"/>
      <c r="G2" s="10"/>
      <c r="H2" s="15"/>
      <c r="I2" s="16">
        <f>C2/B2</f>
        <v>0.28793309438470716</v>
      </c>
    </row>
    <row r="3" spans="1:9">
      <c r="A3" s="10">
        <v>2030</v>
      </c>
      <c r="B3" s="10">
        <v>31.246006389776301</v>
      </c>
      <c r="C3" s="10">
        <v>10.894568690095801</v>
      </c>
      <c r="D3" s="10">
        <v>20.351437699680503</v>
      </c>
      <c r="E3" s="10">
        <v>32.587859424920097</v>
      </c>
      <c r="F3" s="10">
        <v>34.4089456869009</v>
      </c>
      <c r="G3" s="10"/>
      <c r="H3" s="15">
        <f>B3/B2</f>
        <v>1.1684587813620089</v>
      </c>
      <c r="I3" s="16">
        <f>C3/B3</f>
        <v>0.34867075664621594</v>
      </c>
    </row>
    <row r="4" spans="1:9">
      <c r="A4" s="10">
        <v>2040</v>
      </c>
      <c r="B4" s="10">
        <v>34.089456869009503</v>
      </c>
      <c r="C4" s="10">
        <v>12.108626198083</v>
      </c>
      <c r="D4" s="10">
        <v>21.980830670926501</v>
      </c>
      <c r="E4" s="10">
        <v>36.741214057507896</v>
      </c>
      <c r="F4" s="10">
        <v>39.520766773162997</v>
      </c>
      <c r="G4" s="10"/>
      <c r="H4" s="15">
        <f>B4/B2</f>
        <v>1.2747909199522114</v>
      </c>
      <c r="I4" s="16">
        <f>C4/B4</f>
        <v>0.35520149953139535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8E22-0FEF-4D4A-B2BC-19EE72C63E9F}">
  <sheetPr>
    <tabColor rgb="FF00B0F0"/>
  </sheetPr>
  <dimension ref="A1:I4"/>
  <sheetViews>
    <sheetView workbookViewId="0">
      <selection activeCell="A2" sqref="A2:I4"/>
    </sheetView>
  </sheetViews>
  <sheetFormatPr defaultRowHeight="14.25"/>
  <cols>
    <col min="1" max="1" width="7" customWidth="1"/>
    <col min="2" max="2" width="12.85546875" customWidth="1"/>
    <col min="3" max="3" width="16.7109375" bestFit="1" customWidth="1"/>
    <col min="4" max="4" width="11.7109375" bestFit="1" customWidth="1"/>
    <col min="7" max="7" width="3.7109375" customWidth="1"/>
    <col min="8" max="8" width="22" customWidth="1"/>
    <col min="9" max="9" width="17.5703125" customWidth="1"/>
  </cols>
  <sheetData>
    <row r="1" spans="1:9" s="12" customFormat="1" ht="28.5">
      <c r="A1" s="11" t="s">
        <v>1</v>
      </c>
      <c r="B1" s="11" t="s">
        <v>75</v>
      </c>
      <c r="C1" s="11" t="s">
        <v>76</v>
      </c>
      <c r="D1" s="11" t="s">
        <v>77</v>
      </c>
      <c r="E1" s="11" t="s">
        <v>78</v>
      </c>
      <c r="F1" s="11" t="s">
        <v>79</v>
      </c>
      <c r="G1" s="11"/>
      <c r="H1" s="13" t="s">
        <v>73</v>
      </c>
      <c r="I1" s="14" t="s">
        <v>74</v>
      </c>
    </row>
    <row r="2" spans="1:9">
      <c r="A2" s="10">
        <v>2024</v>
      </c>
      <c r="B2" s="10">
        <v>0.2006389776357824</v>
      </c>
      <c r="C2" s="10">
        <v>0.1201277955271552</v>
      </c>
      <c r="D2" s="10">
        <v>8.0511182108627205E-2</v>
      </c>
      <c r="E2" s="10"/>
      <c r="F2" s="10"/>
      <c r="G2" s="10"/>
      <c r="H2" s="15"/>
      <c r="I2" s="16">
        <f>C2/B2</f>
        <v>0.59872611464967584</v>
      </c>
    </row>
    <row r="3" spans="1:9">
      <c r="A3" s="10">
        <v>2030</v>
      </c>
      <c r="B3" s="10">
        <v>0.46006389776357604</v>
      </c>
      <c r="C3" s="10">
        <v>0.36932907348242799</v>
      </c>
      <c r="D3" s="10">
        <v>9.0734824281148013E-2</v>
      </c>
      <c r="E3" s="10">
        <v>0.51118210862619595</v>
      </c>
      <c r="F3" s="10">
        <v>0.70798722044728002</v>
      </c>
      <c r="G3" s="10"/>
      <c r="H3" s="15">
        <f>B3/B2</f>
        <v>2.2929936305732412</v>
      </c>
      <c r="I3" s="16">
        <f>C3/B3</f>
        <v>0.80277777777778148</v>
      </c>
    </row>
    <row r="4" spans="1:9">
      <c r="A4" s="10">
        <v>2040</v>
      </c>
      <c r="B4" s="10">
        <v>0.92523961661341603</v>
      </c>
      <c r="C4" s="10">
        <v>0.80127795527156398</v>
      </c>
      <c r="D4" s="10">
        <v>0.12396166134185208</v>
      </c>
      <c r="E4" s="10">
        <v>1.2102236421725201</v>
      </c>
      <c r="F4" s="10">
        <v>1.55399361022364</v>
      </c>
      <c r="G4" s="10"/>
      <c r="H4" s="15">
        <f>B4/B2</f>
        <v>4.6114649681528617</v>
      </c>
      <c r="I4" s="16">
        <f>C4/B4</f>
        <v>0.86602209944751452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DE19-6443-49CB-ADB6-12B143AB356E}">
  <sheetPr>
    <tabColor rgb="FF00B0F0"/>
  </sheetPr>
  <dimension ref="A1:I4"/>
  <sheetViews>
    <sheetView workbookViewId="0">
      <selection activeCell="A2" sqref="A2:I4"/>
    </sheetView>
  </sheetViews>
  <sheetFormatPr defaultRowHeight="14.25"/>
  <cols>
    <col min="1" max="1" width="7" customWidth="1"/>
    <col min="2" max="2" width="12.85546875" customWidth="1"/>
    <col min="3" max="3" width="16.7109375" bestFit="1" customWidth="1"/>
    <col min="4" max="4" width="11.7109375" bestFit="1" customWidth="1"/>
    <col min="7" max="7" width="3.7109375" customWidth="1"/>
    <col min="8" max="8" width="22" customWidth="1"/>
    <col min="9" max="9" width="17.5703125" customWidth="1"/>
  </cols>
  <sheetData>
    <row r="1" spans="1:9" s="12" customFormat="1" ht="28.5">
      <c r="A1" s="11" t="s">
        <v>1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/>
      <c r="H1" s="13" t="s">
        <v>73</v>
      </c>
      <c r="I1" s="14" t="s">
        <v>74</v>
      </c>
    </row>
    <row r="2" spans="1:9">
      <c r="A2" s="10">
        <v>2024</v>
      </c>
      <c r="B2" s="10">
        <v>3.3738019169329001</v>
      </c>
      <c r="C2" s="10">
        <v>0.56869009584663599</v>
      </c>
      <c r="D2" s="10">
        <v>2.805111821086264</v>
      </c>
      <c r="E2" s="10"/>
      <c r="F2" s="10"/>
      <c r="G2" s="10"/>
      <c r="H2" s="15"/>
      <c r="I2" s="16">
        <f>C2/B2</f>
        <v>0.16856060606060363</v>
      </c>
    </row>
    <row r="3" spans="1:9">
      <c r="A3" s="10">
        <v>2030</v>
      </c>
      <c r="B3" s="10">
        <v>4.3961661341853002</v>
      </c>
      <c r="C3" s="10">
        <v>1.3546325878594221</v>
      </c>
      <c r="D3" s="10">
        <v>3.0415335463258781</v>
      </c>
      <c r="E3" s="10">
        <v>4.6389776357827399</v>
      </c>
      <c r="F3" s="10">
        <v>5.3801916932907199</v>
      </c>
      <c r="G3" s="10"/>
      <c r="H3" s="15">
        <f>B3/B2</f>
        <v>1.3030303030303048</v>
      </c>
      <c r="I3" s="16">
        <f>C3/B3</f>
        <v>0.30813953488372053</v>
      </c>
    </row>
    <row r="4" spans="1:9">
      <c r="A4" s="10">
        <v>2040</v>
      </c>
      <c r="B4" s="10">
        <v>5.6230031948881605</v>
      </c>
      <c r="C4" s="10">
        <v>2.3706070287539798</v>
      </c>
      <c r="D4" s="10">
        <v>3.2523961661341803</v>
      </c>
      <c r="E4" s="10">
        <v>6.2428115015974202</v>
      </c>
      <c r="F4" s="10">
        <v>7.0862619808306606</v>
      </c>
      <c r="G4" s="10"/>
      <c r="H4" s="15">
        <f>B4/B2</f>
        <v>1.6666666666666647</v>
      </c>
      <c r="I4" s="16">
        <f>C4/B4</f>
        <v>0.42159090909090802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2D8E-99D0-4B36-AC74-FDECB7C7195D}">
  <sheetPr>
    <tabColor rgb="FF00B0F0"/>
  </sheetPr>
  <dimension ref="A1:I4"/>
  <sheetViews>
    <sheetView workbookViewId="0">
      <selection activeCell="A2" sqref="A2:I4"/>
    </sheetView>
  </sheetViews>
  <sheetFormatPr defaultRowHeight="14.25"/>
  <cols>
    <col min="1" max="1" width="7" customWidth="1"/>
    <col min="2" max="2" width="12.85546875" customWidth="1"/>
    <col min="3" max="3" width="16.7109375" bestFit="1" customWidth="1"/>
    <col min="4" max="4" width="11.7109375" bestFit="1" customWidth="1"/>
    <col min="7" max="7" width="3.7109375" customWidth="1"/>
    <col min="8" max="8" width="22" customWidth="1"/>
    <col min="9" max="9" width="17.5703125" customWidth="1"/>
  </cols>
  <sheetData>
    <row r="1" spans="1:9" s="12" customFormat="1" ht="28.5">
      <c r="A1" s="11" t="s">
        <v>1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/>
      <c r="H1" s="13" t="s">
        <v>73</v>
      </c>
      <c r="I1" s="14" t="s">
        <v>74</v>
      </c>
    </row>
    <row r="2" spans="1:9">
      <c r="A2" s="10">
        <v>2024</v>
      </c>
      <c r="B2" s="10">
        <v>220.4472843450468</v>
      </c>
      <c r="C2" s="10">
        <v>69.392971246006198</v>
      </c>
      <c r="D2" s="10">
        <v>151.05431309904057</v>
      </c>
      <c r="E2" s="10"/>
      <c r="F2" s="10"/>
      <c r="G2" s="10"/>
      <c r="H2" s="15"/>
      <c r="I2" s="16">
        <f>C2/B2</f>
        <v>0.31478260869565289</v>
      </c>
    </row>
    <row r="3" spans="1:9">
      <c r="A3" s="10">
        <v>2030</v>
      </c>
      <c r="B3" s="10">
        <v>312.84345047923199</v>
      </c>
      <c r="C3" s="10">
        <v>146.45367412140479</v>
      </c>
      <c r="D3" s="10">
        <v>166.3897763578272</v>
      </c>
      <c r="E3" s="10">
        <v>333.16293929712356</v>
      </c>
      <c r="F3" s="10">
        <v>408.30670926517439</v>
      </c>
      <c r="G3" s="10"/>
      <c r="H3" s="15">
        <f>B3/B2</f>
        <v>1.4191304347826104</v>
      </c>
      <c r="I3" s="16">
        <f>C3/B3</f>
        <v>0.46813725490195957</v>
      </c>
    </row>
    <row r="4" spans="1:9">
      <c r="A4" s="10">
        <v>2040</v>
      </c>
      <c r="B4" s="10">
        <v>328.17891373801922</v>
      </c>
      <c r="C4" s="10">
        <v>133.4185303514364</v>
      </c>
      <c r="D4" s="10">
        <v>194.76038338658282</v>
      </c>
      <c r="E4" s="10">
        <v>374.18530351437602</v>
      </c>
      <c r="F4" s="10">
        <v>437.44408945686837</v>
      </c>
      <c r="G4" s="10"/>
      <c r="H4" s="15">
        <f>B4/B2</f>
        <v>1.488695652173921</v>
      </c>
      <c r="I4" s="16">
        <f>C4/B4</f>
        <v>0.40654205607476235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5116-EF61-4A38-A9F1-1CD110D60A5F}">
  <sheetPr>
    <tabColor rgb="FF00B0F0"/>
  </sheetPr>
  <dimension ref="A1:I4"/>
  <sheetViews>
    <sheetView workbookViewId="0">
      <selection activeCell="A2" sqref="A2:I4"/>
    </sheetView>
  </sheetViews>
  <sheetFormatPr defaultRowHeight="14.25"/>
  <cols>
    <col min="1" max="1" width="7" customWidth="1"/>
    <col min="2" max="2" width="12.85546875" customWidth="1"/>
    <col min="3" max="3" width="16.7109375" bestFit="1" customWidth="1"/>
    <col min="4" max="4" width="11.7109375" bestFit="1" customWidth="1"/>
    <col min="7" max="7" width="3.7109375" customWidth="1"/>
    <col min="8" max="8" width="22" customWidth="1"/>
    <col min="9" max="9" width="17.5703125" customWidth="1"/>
  </cols>
  <sheetData>
    <row r="1" spans="1:9" s="12" customFormat="1" ht="28.5">
      <c r="A1" s="11" t="s">
        <v>1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/>
      <c r="H1" s="13" t="s">
        <v>73</v>
      </c>
      <c r="I1" s="14" t="s">
        <v>74</v>
      </c>
    </row>
    <row r="2" spans="1:9">
      <c r="A2" s="10">
        <v>2024</v>
      </c>
      <c r="B2" s="10">
        <v>4.4600638977635603</v>
      </c>
      <c r="C2" s="10">
        <v>1.3162939297124521</v>
      </c>
      <c r="D2" s="10">
        <v>3.143769968051108</v>
      </c>
      <c r="E2" s="10"/>
      <c r="F2" s="10"/>
      <c r="G2" s="10"/>
      <c r="H2" s="15"/>
      <c r="I2" s="16">
        <f>C2/B2</f>
        <v>0.29512893982807964</v>
      </c>
    </row>
    <row r="3" spans="1:9">
      <c r="A3" s="10">
        <v>2030</v>
      </c>
      <c r="B3" s="10">
        <v>7.4376996805111606</v>
      </c>
      <c r="C3" s="10">
        <v>3.6038338658146922</v>
      </c>
      <c r="D3" s="10">
        <v>3.8338658146964684</v>
      </c>
      <c r="E3" s="10">
        <v>7.9999999999999609</v>
      </c>
      <c r="F3" s="10">
        <v>10.108626198083041</v>
      </c>
      <c r="G3" s="10"/>
      <c r="H3" s="15">
        <f>B3/B2</f>
        <v>1.6676217765043</v>
      </c>
      <c r="I3" s="16">
        <f>C3/B3</f>
        <v>0.48453608247422764</v>
      </c>
    </row>
    <row r="4" spans="1:9">
      <c r="A4" s="10">
        <v>2040</v>
      </c>
      <c r="B4" s="10">
        <v>9.738019169329041</v>
      </c>
      <c r="C4" s="10">
        <v>4.7667731629392796</v>
      </c>
      <c r="D4" s="10">
        <v>4.9712460063897606</v>
      </c>
      <c r="E4" s="10">
        <v>11.591054313099001</v>
      </c>
      <c r="F4" s="10">
        <v>14.134185303514361</v>
      </c>
      <c r="G4" s="10"/>
      <c r="H4" s="15">
        <f>B4/B2</f>
        <v>2.1833810888252163</v>
      </c>
      <c r="I4" s="16">
        <f>C4/B4</f>
        <v>0.48950131233595784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633B-9B00-4433-AC8A-867C102FA451}">
  <sheetPr>
    <tabColor rgb="FF00B0F0"/>
  </sheetPr>
  <dimension ref="A1:I4"/>
  <sheetViews>
    <sheetView workbookViewId="0">
      <selection activeCell="A2" sqref="A2:I4"/>
    </sheetView>
  </sheetViews>
  <sheetFormatPr defaultRowHeight="14.25"/>
  <cols>
    <col min="1" max="1" width="7" customWidth="1"/>
    <col min="2" max="2" width="12.85546875" customWidth="1"/>
    <col min="3" max="3" width="16.7109375" bestFit="1" customWidth="1"/>
    <col min="4" max="4" width="11.7109375" bestFit="1" customWidth="1"/>
    <col min="7" max="7" width="3.7109375" customWidth="1"/>
    <col min="8" max="8" width="22" customWidth="1"/>
    <col min="9" max="9" width="17.5703125" customWidth="1"/>
  </cols>
  <sheetData>
    <row r="1" spans="1:9" s="12" customFormat="1" ht="28.5">
      <c r="A1" s="11" t="s">
        <v>1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/>
      <c r="H1" s="13" t="s">
        <v>73</v>
      </c>
      <c r="I1" s="14" t="s">
        <v>74</v>
      </c>
    </row>
    <row r="2" spans="1:9">
      <c r="A2" s="10">
        <v>2024</v>
      </c>
      <c r="B2" s="10">
        <v>93.610223642172002</v>
      </c>
      <c r="C2" s="10">
        <v>19.488817891373749</v>
      </c>
      <c r="D2" s="10">
        <v>74.12140575079826</v>
      </c>
      <c r="E2" s="10"/>
      <c r="F2" s="10"/>
      <c r="G2" s="10"/>
      <c r="H2" s="15"/>
      <c r="I2" s="16">
        <f>C2/B2</f>
        <v>0.20819112627986408</v>
      </c>
    </row>
    <row r="3" spans="1:9">
      <c r="A3" s="10">
        <v>2030</v>
      </c>
      <c r="B3" s="10">
        <v>123.1629392971245</v>
      </c>
      <c r="C3" s="10">
        <v>38.178913738019098</v>
      </c>
      <c r="D3" s="10">
        <v>84.98402555910539</v>
      </c>
      <c r="E3" s="10">
        <v>132.42811501597399</v>
      </c>
      <c r="F3" s="10">
        <v>147.28434504792301</v>
      </c>
      <c r="G3" s="10"/>
      <c r="H3" s="15">
        <f>B3/B2</f>
        <v>1.3156996587030778</v>
      </c>
      <c r="I3" s="16">
        <f>C3/B3</f>
        <v>0.30998702983138748</v>
      </c>
    </row>
    <row r="4" spans="1:9">
      <c r="A4" s="10">
        <v>2040</v>
      </c>
      <c r="B4" s="10">
        <v>149.68051118210849</v>
      </c>
      <c r="C4" s="10">
        <v>46.805111821086044</v>
      </c>
      <c r="D4" s="10">
        <v>102.87539936102246</v>
      </c>
      <c r="E4" s="10">
        <v>163.57827476038298</v>
      </c>
      <c r="F4" s="10">
        <v>172.68370607028749</v>
      </c>
      <c r="G4" s="10"/>
      <c r="H4" s="15">
        <f>B4/B2</f>
        <v>1.5989761092150245</v>
      </c>
      <c r="I4" s="16">
        <f>C4/B4</f>
        <v>0.31270010672358473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95F3-93CA-4870-BAFA-391EF63306CD}">
  <sheetPr>
    <tabColor rgb="FF00B0F0"/>
  </sheetPr>
  <dimension ref="A1:D68"/>
  <sheetViews>
    <sheetView workbookViewId="0"/>
  </sheetViews>
  <sheetFormatPr defaultRowHeight="14.25"/>
  <cols>
    <col min="2" max="2" width="36.42578125" customWidth="1"/>
    <col min="4" max="4" width="46.42578125" customWidth="1"/>
  </cols>
  <sheetData>
    <row r="1" spans="1:4">
      <c r="A1" t="s">
        <v>80</v>
      </c>
      <c r="B1" t="s">
        <v>81</v>
      </c>
      <c r="C1" t="s">
        <v>82</v>
      </c>
      <c r="D1" t="s">
        <v>83</v>
      </c>
    </row>
    <row r="2" spans="1:4">
      <c r="A2">
        <v>2020</v>
      </c>
      <c r="B2">
        <v>19.942392471791202</v>
      </c>
      <c r="C2">
        <v>2020</v>
      </c>
      <c r="D2">
        <v>23.9289638984737</v>
      </c>
    </row>
    <row r="3" spans="1:4">
      <c r="A3">
        <v>2020.65513387848</v>
      </c>
      <c r="B3">
        <v>20.502614308997199</v>
      </c>
      <c r="C3">
        <v>2020.32064196749</v>
      </c>
      <c r="D3">
        <v>24.299931251447699</v>
      </c>
    </row>
    <row r="4" spans="1:4">
      <c r="A4">
        <v>2021.1127222436401</v>
      </c>
      <c r="B4">
        <v>20.787322826735</v>
      </c>
      <c r="C4">
        <v>2020.7781710423901</v>
      </c>
      <c r="D4">
        <v>24.724268323207699</v>
      </c>
    </row>
    <row r="5" spans="1:4">
      <c r="A5">
        <v>2021.5704114022301</v>
      </c>
      <c r="B5">
        <v>20.834662802635101</v>
      </c>
      <c r="C5">
        <v>2021.2357791709701</v>
      </c>
      <c r="D5">
        <v>24.962433989604701</v>
      </c>
    </row>
    <row r="6" spans="1:4">
      <c r="A6">
        <v>2022.0281025371701</v>
      </c>
      <c r="B6">
        <v>20.8773484934012</v>
      </c>
      <c r="C6">
        <v>2021.6934426371199</v>
      </c>
      <c r="D6">
        <v>25.0702796722478</v>
      </c>
    </row>
    <row r="7" spans="1:4">
      <c r="A7">
        <v>2022.4857067130599</v>
      </c>
      <c r="B7">
        <v>21.124822730066398</v>
      </c>
      <c r="C7">
        <v>2022.15106460009</v>
      </c>
      <c r="D7">
        <v>25.2758653427064</v>
      </c>
    </row>
    <row r="8" spans="1:4">
      <c r="A8">
        <v>2022.9433049599299</v>
      </c>
      <c r="B8">
        <v>21.386259822133798</v>
      </c>
      <c r="C8">
        <v>2022.60863913085</v>
      </c>
      <c r="D8">
        <v>25.593153856382699</v>
      </c>
    </row>
    <row r="9" spans="1:4">
      <c r="A9">
        <v>2023.40086763264</v>
      </c>
      <c r="B9">
        <v>21.731474046614601</v>
      </c>
      <c r="C9">
        <v>2023.06620377991</v>
      </c>
      <c r="D9">
        <v>25.9337137957294</v>
      </c>
    </row>
    <row r="10" spans="1:4">
      <c r="A10">
        <v>2023.8584204236399</v>
      </c>
      <c r="B10">
        <v>22.099959696765701</v>
      </c>
      <c r="C10">
        <v>2023.52374273652</v>
      </c>
      <c r="D10">
        <v>26.334779441818998</v>
      </c>
    </row>
    <row r="11" spans="1:4">
      <c r="A11">
        <v>2024.31595938025</v>
      </c>
      <c r="B11">
        <v>22.5010253428553</v>
      </c>
      <c r="C11">
        <v>2023.98127576411</v>
      </c>
      <c r="D11">
        <v>26.749807943310799</v>
      </c>
    </row>
    <row r="12" spans="1:4">
      <c r="A12">
        <v>2024.7734884551601</v>
      </c>
      <c r="B12">
        <v>22.9253624146153</v>
      </c>
      <c r="C12">
        <v>2024.4387732175401</v>
      </c>
      <c r="D12">
        <v>27.248613577215899</v>
      </c>
    </row>
    <row r="13" spans="1:4">
      <c r="A13">
        <v>2025.2311262288599</v>
      </c>
      <c r="B13">
        <v>23.0937138040013</v>
      </c>
      <c r="C13">
        <v>2024.89627659999</v>
      </c>
      <c r="D13">
        <v>27.733456355718801</v>
      </c>
    </row>
    <row r="14" spans="1:4">
      <c r="A14">
        <v>2025.68884700893</v>
      </c>
      <c r="B14">
        <v>23.066585217756199</v>
      </c>
      <c r="C14">
        <v>2025.3539341371199</v>
      </c>
      <c r="D14">
        <v>27.855264893764101</v>
      </c>
    </row>
    <row r="15" spans="1:4">
      <c r="A15">
        <v>2026.14652826215</v>
      </c>
      <c r="B15">
        <v>23.132542334192699</v>
      </c>
      <c r="C15">
        <v>2025.81163910645</v>
      </c>
      <c r="D15">
        <v>27.865370588591698</v>
      </c>
    </row>
    <row r="16" spans="1:4">
      <c r="A16">
        <v>2026.60412057999</v>
      </c>
      <c r="B16">
        <v>23.407942281662301</v>
      </c>
      <c r="C16">
        <v>2026.26923142429</v>
      </c>
      <c r="D16">
        <v>28.1407705360613</v>
      </c>
    </row>
    <row r="17" spans="1:4">
      <c r="A17">
        <v>2027.06172673223</v>
      </c>
      <c r="B17">
        <v>23.6507622331935</v>
      </c>
      <c r="C17">
        <v>2026.7267703809</v>
      </c>
      <c r="D17">
        <v>28.541836182150899</v>
      </c>
    </row>
    <row r="18" spans="1:4">
      <c r="A18">
        <v>2027.5193803166701</v>
      </c>
      <c r="B18">
        <v>23.781879341506901</v>
      </c>
      <c r="C18">
        <v>2027.1843508406901</v>
      </c>
      <c r="D18">
        <v>28.845161840425</v>
      </c>
    </row>
    <row r="19" spans="1:4">
      <c r="A19">
        <v>2027.97701611403</v>
      </c>
      <c r="B19">
        <v>23.954885016026999</v>
      </c>
      <c r="C19">
        <v>2027.64195896927</v>
      </c>
      <c r="D19">
        <v>29.083327506822101</v>
      </c>
    </row>
    <row r="20" spans="1:4">
      <c r="A20">
        <v>2028.43458273943</v>
      </c>
      <c r="B20">
        <v>24.290790670239598</v>
      </c>
      <c r="C20">
        <v>2028.09953547637</v>
      </c>
      <c r="D20">
        <v>29.395961735364398</v>
      </c>
    </row>
    <row r="21" spans="1:4">
      <c r="A21">
        <v>2028.89214738848</v>
      </c>
      <c r="B21">
        <v>24.631350609586299</v>
      </c>
      <c r="C21">
        <v>2028.5570447878599</v>
      </c>
      <c r="D21">
        <v>29.866841658464999</v>
      </c>
    </row>
    <row r="22" spans="1:4">
      <c r="A22">
        <v>2029.34973772998</v>
      </c>
      <c r="B22">
        <v>24.911404842189999</v>
      </c>
      <c r="C22">
        <v>2029.0145639810501</v>
      </c>
      <c r="D22">
        <v>30.3144501558954</v>
      </c>
    </row>
    <row r="23" spans="1:4">
      <c r="A23">
        <v>2029.8073478348999</v>
      </c>
      <c r="B23">
        <v>25.144916223452999</v>
      </c>
      <c r="C23">
        <v>2029.47210886669</v>
      </c>
      <c r="D23">
        <v>30.701552946582801</v>
      </c>
    </row>
    <row r="24" spans="1:4">
      <c r="A24">
        <v>2030.26501130105</v>
      </c>
      <c r="B24">
        <v>25.252761906096101</v>
      </c>
      <c r="C24">
        <v>2029.92965770501</v>
      </c>
      <c r="D24">
        <v>31.079347167001998</v>
      </c>
    </row>
    <row r="25" spans="1:4">
      <c r="A25">
        <v>2030.72270045965</v>
      </c>
      <c r="B25">
        <v>25.300101881996198</v>
      </c>
      <c r="C25">
        <v>2030.3872678099201</v>
      </c>
      <c r="D25">
        <v>31.312858548265002</v>
      </c>
    </row>
    <row r="26" spans="1:4">
      <c r="A26">
        <v>2031.1803955472701</v>
      </c>
      <c r="B26">
        <v>25.333479002494101</v>
      </c>
      <c r="C26">
        <v>2030.8448976782599</v>
      </c>
      <c r="D26">
        <v>31.499827078187302</v>
      </c>
    </row>
    <row r="27" spans="1:4">
      <c r="A27">
        <v>2031.6381262090399</v>
      </c>
      <c r="B27">
        <v>25.283078990578701</v>
      </c>
      <c r="C27">
        <v>2031.3025314992799</v>
      </c>
      <c r="D27">
        <v>31.677487037841502</v>
      </c>
    </row>
    <row r="28" spans="1:4">
      <c r="A28">
        <v>2032.0958272256901</v>
      </c>
      <c r="B28">
        <v>25.302493255674399</v>
      </c>
      <c r="C28">
        <v>2031.7601732256701</v>
      </c>
      <c r="D28">
        <v>31.836529856959299</v>
      </c>
    </row>
    <row r="29" spans="1:4">
      <c r="A29">
        <v>2032.5534985971999</v>
      </c>
      <c r="B29">
        <v>25.391721797781202</v>
      </c>
      <c r="C29">
        <v>2032.21779123596</v>
      </c>
      <c r="D29">
        <v>32.051424097686102</v>
      </c>
    </row>
    <row r="30" spans="1:4">
      <c r="A30">
        <v>2033.01117787409</v>
      </c>
      <c r="B30">
        <v>25.462333199351701</v>
      </c>
      <c r="C30">
        <v>2032.67538948283</v>
      </c>
      <c r="D30">
        <v>32.312861189753498</v>
      </c>
    </row>
    <row r="31" spans="1:4">
      <c r="A31">
        <v>2033.4688452929199</v>
      </c>
      <c r="B31">
        <v>25.5608703117266</v>
      </c>
      <c r="C31">
        <v>2033.1329798243301</v>
      </c>
      <c r="D31">
        <v>32.592915422357201</v>
      </c>
    </row>
    <row r="32" spans="1:4">
      <c r="A32">
        <v>2033.9265364278599</v>
      </c>
      <c r="B32">
        <v>25.603556002492699</v>
      </c>
      <c r="C32">
        <v>2033.5905701658301</v>
      </c>
      <c r="D32">
        <v>32.872969654960997</v>
      </c>
    </row>
    <row r="33" spans="1:4">
      <c r="A33">
        <v>2034.3842176810799</v>
      </c>
      <c r="B33">
        <v>25.6695131189291</v>
      </c>
      <c r="C33">
        <v>2034.0481605073301</v>
      </c>
      <c r="D33">
        <v>33.1530238875647</v>
      </c>
    </row>
    <row r="34" spans="1:4">
      <c r="A34">
        <v>2034.8418989343099</v>
      </c>
      <c r="B34">
        <v>25.735470235365501</v>
      </c>
      <c r="C34">
        <v>2034.50574689614</v>
      </c>
      <c r="D34">
        <v>33.442386690436599</v>
      </c>
    </row>
    <row r="35" spans="1:4">
      <c r="A35">
        <v>2035.2995920455901</v>
      </c>
      <c r="B35">
        <v>25.773501640997502</v>
      </c>
      <c r="C35">
        <v>2034.96332735593</v>
      </c>
      <c r="D35">
        <v>33.745712348710697</v>
      </c>
    </row>
    <row r="36" spans="1:4">
      <c r="A36">
        <v>2035.7572772515</v>
      </c>
      <c r="B36">
        <v>25.830150187165799</v>
      </c>
      <c r="C36">
        <v>2035.42090979206</v>
      </c>
      <c r="D36">
        <v>34.0443837218507</v>
      </c>
    </row>
    <row r="37" spans="1:4">
      <c r="A37">
        <v>2036.2149881498499</v>
      </c>
      <c r="B37">
        <v>25.826293026591099</v>
      </c>
      <c r="C37">
        <v>2035.8784922282</v>
      </c>
      <c r="D37">
        <v>34.343055094990703</v>
      </c>
    </row>
    <row r="38" spans="1:4">
      <c r="A38">
        <v>2036.6727188116299</v>
      </c>
      <c r="B38">
        <v>25.775893014675699</v>
      </c>
      <c r="C38">
        <v>2036.3361023331199</v>
      </c>
      <c r="D38">
        <v>34.576566476253703</v>
      </c>
    </row>
    <row r="39" spans="1:4">
      <c r="A39">
        <v>2037.13044749706</v>
      </c>
      <c r="B39">
        <v>25.7301472878944</v>
      </c>
      <c r="C39">
        <v>2036.7937183670599</v>
      </c>
      <c r="D39">
        <v>34.796115002114497</v>
      </c>
    </row>
    <row r="40" spans="1:4">
      <c r="A40">
        <v>2037.58818013517</v>
      </c>
      <c r="B40">
        <v>25.675092990844998</v>
      </c>
      <c r="C40">
        <v>2037.2513442827101</v>
      </c>
      <c r="D40">
        <v>34.992392102304997</v>
      </c>
    </row>
    <row r="41" spans="1:4">
      <c r="A41">
        <v>2038.04592067866</v>
      </c>
      <c r="B41">
        <v>25.6014215532592</v>
      </c>
      <c r="C41">
        <v>2037.7089662456799</v>
      </c>
      <c r="D41">
        <v>35.197977772763501</v>
      </c>
    </row>
    <row r="42" spans="1:4">
      <c r="A42">
        <v>2038.5036454113999</v>
      </c>
      <c r="B42">
        <v>25.564984396745999</v>
      </c>
      <c r="C42">
        <v>2038.16658820865</v>
      </c>
      <c r="D42">
        <v>35.403563443222097</v>
      </c>
    </row>
    <row r="43" spans="1:4">
      <c r="A43">
        <v>2038.9613938602499</v>
      </c>
      <c r="B43">
        <v>25.472695818624</v>
      </c>
      <c r="C43">
        <v>2038.6241963372299</v>
      </c>
      <c r="D43">
        <v>35.641729109619199</v>
      </c>
    </row>
    <row r="44" spans="1:4">
      <c r="A44">
        <v>2039.4191087112899</v>
      </c>
      <c r="B44">
        <v>25.4595300877812</v>
      </c>
      <c r="C44">
        <v>2039.08180841849</v>
      </c>
      <c r="D44">
        <v>35.870586205748197</v>
      </c>
    </row>
    <row r="45" spans="1:4">
      <c r="A45">
        <v>2039.8768551838</v>
      </c>
      <c r="B45">
        <v>25.3718957947932</v>
      </c>
      <c r="C45">
        <v>2039.5394284051199</v>
      </c>
      <c r="D45">
        <v>36.080826161340802</v>
      </c>
    </row>
    <row r="46" spans="1:4">
      <c r="A46">
        <v>2040.3345996799701</v>
      </c>
      <c r="B46">
        <v>25.288915786939398</v>
      </c>
      <c r="C46">
        <v>2039.9970464154101</v>
      </c>
      <c r="D46">
        <v>36.295720402067502</v>
      </c>
    </row>
    <row r="47" spans="1:4">
      <c r="A47">
        <v>2040.7923619632099</v>
      </c>
      <c r="B47">
        <v>25.164047212878799</v>
      </c>
      <c r="C47">
        <v>2040.4546841891099</v>
      </c>
      <c r="D47">
        <v>36.464071791453499</v>
      </c>
    </row>
    <row r="48" spans="1:4">
      <c r="A48">
        <v>2041.2501222701101</v>
      </c>
      <c r="B48">
        <v>25.043832923952401</v>
      </c>
      <c r="C48">
        <v>2040.9123160337899</v>
      </c>
      <c r="D48">
        <v>36.6463860362418</v>
      </c>
    </row>
    <row r="49" spans="1:4">
      <c r="A49">
        <v>2041.7078766479899</v>
      </c>
      <c r="B49">
        <v>24.937581490428101</v>
      </c>
      <c r="C49">
        <v>2041.36996171286</v>
      </c>
      <c r="D49">
        <v>36.796120285091497</v>
      </c>
    </row>
    <row r="50" spans="1:4">
      <c r="A50">
        <v>2042.16563695489</v>
      </c>
      <c r="B50">
        <v>24.8173672015016</v>
      </c>
      <c r="C50">
        <v>2041.8276073919401</v>
      </c>
      <c r="D50">
        <v>36.945854533941201</v>
      </c>
    </row>
    <row r="51" spans="1:4">
      <c r="A51">
        <v>2042.6233972617899</v>
      </c>
      <c r="B51">
        <v>24.697152912575199</v>
      </c>
      <c r="C51">
        <v>2042.28525900003</v>
      </c>
      <c r="D51">
        <v>37.0816259273887</v>
      </c>
    </row>
    <row r="52" spans="1:4">
      <c r="A52">
        <v>2043.0811575687001</v>
      </c>
      <c r="B52">
        <v>24.576938623648701</v>
      </c>
      <c r="C52">
        <v>2042.7429125844701</v>
      </c>
      <c r="D52">
        <v>37.212743035702097</v>
      </c>
    </row>
    <row r="53" spans="1:4">
      <c r="A53">
        <v>2043.5389277573099</v>
      </c>
      <c r="B53">
        <v>24.433452909051901</v>
      </c>
      <c r="C53">
        <v>2043.2005681452599</v>
      </c>
      <c r="D53">
        <v>37.339205858881499</v>
      </c>
    </row>
    <row r="54" spans="1:4">
      <c r="A54">
        <v>2043.9966920168899</v>
      </c>
      <c r="B54">
        <v>24.3039300498573</v>
      </c>
      <c r="C54">
        <v>2043.6582217297</v>
      </c>
      <c r="D54">
        <v>37.470322967194903</v>
      </c>
    </row>
    <row r="55" spans="1:4">
      <c r="A55">
        <v>2044.45443058403</v>
      </c>
      <c r="B55">
        <v>24.2349128974056</v>
      </c>
      <c r="C55">
        <v>2044.1158753141401</v>
      </c>
      <c r="D55">
        <v>37.6014400755083</v>
      </c>
    </row>
    <row r="56" spans="1:4">
      <c r="A56">
        <v>2044.9121750802001</v>
      </c>
      <c r="B56">
        <v>24.151932889551698</v>
      </c>
      <c r="C56">
        <v>2044.5735348276</v>
      </c>
      <c r="D56">
        <v>37.718594328419499</v>
      </c>
    </row>
    <row r="57" spans="1:4">
      <c r="A57">
        <v>2045.36991760002</v>
      </c>
      <c r="B57">
        <v>24.073607166831898</v>
      </c>
      <c r="C57">
        <v>2045.03118445936</v>
      </c>
      <c r="D57">
        <v>37.859020007001099</v>
      </c>
    </row>
    <row r="58" spans="1:4">
      <c r="A58">
        <v>2045.8276462854601</v>
      </c>
      <c r="B58">
        <v>24.0278614400506</v>
      </c>
      <c r="C58">
        <v>2045.4888222330601</v>
      </c>
      <c r="D58">
        <v>38.027371396387103</v>
      </c>
    </row>
    <row r="59" spans="1:4">
      <c r="A59">
        <v>2046.28539078162</v>
      </c>
      <c r="B59">
        <v>23.944881432196699</v>
      </c>
      <c r="C59">
        <v>2045.9464600067699</v>
      </c>
      <c r="D59">
        <v>38.1957227857731</v>
      </c>
    </row>
    <row r="60" spans="1:4">
      <c r="A60">
        <v>2046.7431412068199</v>
      </c>
      <c r="B60">
        <v>23.847938568940599</v>
      </c>
      <c r="C60">
        <v>2046.40409975682</v>
      </c>
      <c r="D60">
        <v>38.359419890025102</v>
      </c>
    </row>
    <row r="61" spans="1:4">
      <c r="A61">
        <v>2047.20089360835</v>
      </c>
      <c r="B61">
        <v>23.746341420550401</v>
      </c>
      <c r="C61">
        <v>2046.86174741223</v>
      </c>
      <c r="D61">
        <v>38.504499853740697</v>
      </c>
    </row>
    <row r="62" spans="1:4">
      <c r="A62">
        <v>2047.6586578679401</v>
      </c>
      <c r="B62">
        <v>23.616818561355799</v>
      </c>
      <c r="C62">
        <v>2047.3194089020401</v>
      </c>
      <c r="D62">
        <v>38.616999821517801</v>
      </c>
    </row>
    <row r="63" spans="1:4">
      <c r="A63">
        <v>2048.1164122458099</v>
      </c>
      <c r="B63">
        <v>23.5105671278316</v>
      </c>
      <c r="C63">
        <v>2047.77708620258</v>
      </c>
      <c r="D63">
        <v>38.692265508222398</v>
      </c>
    </row>
    <row r="64" spans="1:4">
      <c r="A64">
        <v>2048.5741547656398</v>
      </c>
      <c r="B64">
        <v>23.4322414051117</v>
      </c>
      <c r="C64">
        <v>2048.2347536214102</v>
      </c>
      <c r="D64">
        <v>38.790802620597297</v>
      </c>
    </row>
    <row r="65" spans="1:4">
      <c r="A65">
        <v>2049.03192100156</v>
      </c>
      <c r="B65">
        <v>23.2980642607831</v>
      </c>
      <c r="C65">
        <v>2048.69241708756</v>
      </c>
      <c r="D65">
        <v>38.8986483032404</v>
      </c>
    </row>
    <row r="66" spans="1:4">
      <c r="A66">
        <v>2049.4897247879899</v>
      </c>
      <c r="B66">
        <v>23.075455698907</v>
      </c>
      <c r="C66">
        <v>2049.15008253005</v>
      </c>
      <c r="D66">
        <v>39.0018397007494</v>
      </c>
    </row>
    <row r="67" spans="1:4">
      <c r="A67">
        <v>2050</v>
      </c>
      <c r="B67">
        <v>22.911273732113202</v>
      </c>
      <c r="C67">
        <v>2049.6077459961998</v>
      </c>
      <c r="D67">
        <v>39.109685383392502</v>
      </c>
    </row>
    <row r="68" spans="1:4">
      <c r="C68">
        <v>2050</v>
      </c>
      <c r="D68">
        <v>39.198514077488099</v>
      </c>
    </row>
  </sheetData>
  <sortState xmlns:xlrd2="http://schemas.microsoft.com/office/spreadsheetml/2017/richdata2" ref="A2:B67">
    <sortCondition ref="A2:A67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8157-F157-46CB-A3C2-FE4E7FBBAF29}">
  <sheetPr>
    <tabColor rgb="FF00B0F0"/>
  </sheetPr>
  <dimension ref="A1:D66"/>
  <sheetViews>
    <sheetView workbookViewId="0">
      <selection sqref="A1:D1048576"/>
    </sheetView>
  </sheetViews>
  <sheetFormatPr defaultRowHeight="14.25"/>
  <cols>
    <col min="2" max="2" width="17.85546875" bestFit="1" customWidth="1"/>
    <col min="4" max="4" width="21.5703125" customWidth="1"/>
  </cols>
  <sheetData>
    <row r="1" spans="1:4">
      <c r="A1" t="s">
        <v>1</v>
      </c>
      <c r="B1" t="s">
        <v>84</v>
      </c>
      <c r="C1" t="s">
        <v>1</v>
      </c>
      <c r="D1" t="s">
        <v>85</v>
      </c>
    </row>
    <row r="2" spans="1:4">
      <c r="A2">
        <v>2020</v>
      </c>
      <c r="B2">
        <v>7.5048716867229304E-2</v>
      </c>
      <c r="C2">
        <v>2020</v>
      </c>
      <c r="D2">
        <v>6.6253830575495096E-2</v>
      </c>
    </row>
    <row r="3" spans="1:4">
      <c r="A3">
        <v>2020.7887661300499</v>
      </c>
      <c r="B3">
        <v>9.3414410989201002E-2</v>
      </c>
      <c r="C3">
        <v>2020.6605119329699</v>
      </c>
      <c r="D3">
        <v>8.8491647616301294E-2</v>
      </c>
    </row>
    <row r="4" spans="1:4">
      <c r="A4">
        <v>2021.2589304570699</v>
      </c>
      <c r="B4">
        <v>0.108372038160703</v>
      </c>
      <c r="C4">
        <v>2021.13071957239</v>
      </c>
      <c r="D4">
        <v>0.10477463415743</v>
      </c>
    </row>
    <row r="5" spans="1:4">
      <c r="A5">
        <v>2021.7290452842001</v>
      </c>
      <c r="B5">
        <v>0.121814968909775</v>
      </c>
      <c r="C5">
        <v>2021.6008282120399</v>
      </c>
      <c r="D5">
        <v>0.118028227853698</v>
      </c>
    </row>
    <row r="6" spans="1:4">
      <c r="A6">
        <v>2022.1992096112201</v>
      </c>
      <c r="B6">
        <v>0.13677259608127801</v>
      </c>
      <c r="C6">
        <v>2022.0709739766</v>
      </c>
      <c r="D6">
        <v>0.13241784386679001</v>
      </c>
    </row>
    <row r="7" spans="1:4">
      <c r="A7">
        <v>2022.66939250069</v>
      </c>
      <c r="B7">
        <v>0.152298234411192</v>
      </c>
      <c r="C7">
        <v>2022.5411754285201</v>
      </c>
      <c r="D7">
        <v>0.14851149335511599</v>
      </c>
    </row>
    <row r="8" spans="1:4">
      <c r="A8">
        <v>2023.13957539016</v>
      </c>
      <c r="B8">
        <v>0.16782387274110699</v>
      </c>
      <c r="C8">
        <v>2023.0113645054801</v>
      </c>
      <c r="D8">
        <v>0.164226468737834</v>
      </c>
    </row>
    <row r="9" spans="1:4">
      <c r="A9">
        <v>2023.60970877975</v>
      </c>
      <c r="B9">
        <v>0.18183481464859</v>
      </c>
      <c r="C9">
        <v>2023.4814917075901</v>
      </c>
      <c r="D9">
        <v>0.17804807359251301</v>
      </c>
    </row>
    <row r="10" spans="1:4">
      <c r="A10">
        <v>2024.0799782940201</v>
      </c>
      <c r="B10">
        <v>0.20001117171775701</v>
      </c>
      <c r="C10">
        <v>2023.95167459706</v>
      </c>
      <c r="D10">
        <v>0.19357371192242701</v>
      </c>
    </row>
    <row r="11" spans="1:4">
      <c r="A11">
        <v>2024.55060668244</v>
      </c>
      <c r="B11">
        <v>0.22916907784954699</v>
      </c>
      <c r="C11">
        <v>2024.4222534856001</v>
      </c>
      <c r="D11">
        <v>0.221216921631786</v>
      </c>
    </row>
    <row r="12" spans="1:4">
      <c r="A12">
        <v>2025.02084367559</v>
      </c>
      <c r="B12">
        <v>0.246350288715245</v>
      </c>
      <c r="C12">
        <v>2024.8931570521099</v>
      </c>
      <c r="D12">
        <v>0.25879527736125901</v>
      </c>
    </row>
    <row r="13" spans="1:4">
      <c r="A13">
        <v>2025.4911837964301</v>
      </c>
      <c r="B13">
        <v>0.26668720689215503</v>
      </c>
      <c r="C13">
        <v>2025.36356178797</v>
      </c>
      <c r="D13">
        <v>0.28110941533244899</v>
      </c>
    </row>
    <row r="14" spans="1:4">
      <c r="A14">
        <v>2025.9614987253599</v>
      </c>
      <c r="B14">
        <v>0.28625325278264901</v>
      </c>
      <c r="C14">
        <v>2025.83380242731</v>
      </c>
      <c r="D14">
        <v>0.29840219948853203</v>
      </c>
    </row>
    <row r="15" spans="1:4">
      <c r="A15">
        <v>2026.43171793391</v>
      </c>
      <c r="B15">
        <v>0.30289025459827401</v>
      </c>
      <c r="C15">
        <v>2026.30414098655</v>
      </c>
      <c r="D15">
        <v>0.31869133259973398</v>
      </c>
    </row>
    <row r="16" spans="1:4">
      <c r="A16">
        <v>2026.90210369482</v>
      </c>
      <c r="B16">
        <v>0.32462375894086498</v>
      </c>
      <c r="C16">
        <v>2026.77446206319</v>
      </c>
      <c r="D16">
        <v>0.33844549844226701</v>
      </c>
    </row>
    <row r="17" spans="1:4">
      <c r="A17">
        <v>2027.3724958980799</v>
      </c>
      <c r="B17">
        <v>0.34655439928562798</v>
      </c>
      <c r="C17">
        <v>2027.2448334057899</v>
      </c>
      <c r="D17">
        <v>0.35973780243757703</v>
      </c>
    </row>
    <row r="18" spans="1:4">
      <c r="A18">
        <v>2027.84283384741</v>
      </c>
      <c r="B18">
        <v>0.36682486930506097</v>
      </c>
      <c r="C18">
        <v>2027.7152312661899</v>
      </c>
      <c r="D18">
        <v>0.38184155094490502</v>
      </c>
    </row>
    <row r="19" spans="1:4">
      <c r="A19">
        <v>2028.3134838036401</v>
      </c>
      <c r="B19">
        <v>0.39664275030662399</v>
      </c>
      <c r="C19">
        <v>2028.18588403182</v>
      </c>
      <c r="D19">
        <v>0.41174539991848802</v>
      </c>
    </row>
    <row r="20" spans="1:4">
      <c r="A20">
        <v>2028.78420588827</v>
      </c>
      <c r="B20">
        <v>0.42866776038087201</v>
      </c>
      <c r="C20">
        <v>2028.65658136651</v>
      </c>
      <c r="D20">
        <v>0.44301306178152</v>
      </c>
    </row>
    <row r="21" spans="1:4">
      <c r="A21">
        <v>2029.25484172082</v>
      </c>
      <c r="B21">
        <v>0.458053457085288</v>
      </c>
      <c r="C21">
        <v>2029.1272251544001</v>
      </c>
      <c r="D21">
        <v>0.47264219183954198</v>
      </c>
    </row>
    <row r="22" spans="1:4">
      <c r="A22">
        <v>2029.7255602697401</v>
      </c>
      <c r="B22">
        <v>0.48997027455793402</v>
      </c>
      <c r="C22">
        <v>2029.59794635511</v>
      </c>
      <c r="D22">
        <v>0.50464015376339</v>
      </c>
    </row>
    <row r="23" spans="1:4">
      <c r="A23">
        <v>2030.19624346161</v>
      </c>
      <c r="B23">
        <v>0.52080516601455795</v>
      </c>
      <c r="C23">
        <v>2030.0687299418601</v>
      </c>
      <c r="D23">
        <v>0.53854712899625301</v>
      </c>
    </row>
    <row r="24" spans="1:4">
      <c r="A24">
        <v>2030.66689925175</v>
      </c>
      <c r="B24">
        <v>0.55080156480876497</v>
      </c>
      <c r="C24">
        <v>2030.5393636338399</v>
      </c>
      <c r="D24">
        <v>0.56786732403044704</v>
      </c>
    </row>
    <row r="25" spans="1:4">
      <c r="A25">
        <v>2031.1428062789701</v>
      </c>
      <c r="B25">
        <v>0.57816683216663001</v>
      </c>
      <c r="C25">
        <v>2031.0223353583499</v>
      </c>
      <c r="D25">
        <v>0.60143077474114603</v>
      </c>
    </row>
    <row r="26" spans="1:4">
      <c r="A26">
        <v>2031.61248090653</v>
      </c>
      <c r="B26">
        <v>0.61702512891318195</v>
      </c>
      <c r="C26">
        <v>2031.4851398634401</v>
      </c>
      <c r="D26">
        <v>0.63382320160639904</v>
      </c>
    </row>
    <row r="27" spans="1:4">
      <c r="A27">
        <v>2032.0789834094801</v>
      </c>
      <c r="B27">
        <v>0.64436445285080102</v>
      </c>
      <c r="C27">
        <v>2031.95162216227</v>
      </c>
      <c r="D27">
        <v>0.66676595542373795</v>
      </c>
    </row>
    <row r="28" spans="1:4">
      <c r="A28">
        <v>2032.5497314167301</v>
      </c>
      <c r="B28">
        <v>0.67718269514780105</v>
      </c>
      <c r="C28">
        <v>2032.42247948765</v>
      </c>
      <c r="D28">
        <v>0.70292933250927003</v>
      </c>
    </row>
    <row r="29" spans="1:4">
      <c r="A29">
        <v>2032.9331312209499</v>
      </c>
      <c r="B29">
        <v>0.70381259124666895</v>
      </c>
      <c r="C29">
        <v>2032.8934211204701</v>
      </c>
      <c r="D29">
        <v>0.74167251703375103</v>
      </c>
    </row>
    <row r="30" spans="1:4">
      <c r="A30">
        <v>2033.2984755832999</v>
      </c>
      <c r="B30">
        <v>0.72409613387876104</v>
      </c>
      <c r="C30">
        <v>2033.36406280609</v>
      </c>
      <c r="D30">
        <v>0.77123731764007397</v>
      </c>
    </row>
    <row r="31" spans="1:4">
      <c r="A31">
        <v>2033.61945805599</v>
      </c>
      <c r="B31">
        <v>0.74539461413242702</v>
      </c>
      <c r="C31">
        <v>2033.8541022613399</v>
      </c>
      <c r="D31">
        <v>0.80642551880916802</v>
      </c>
    </row>
    <row r="32" spans="1:4">
      <c r="A32">
        <v>2033.93333461508</v>
      </c>
      <c r="B32">
        <v>0.77026281858742895</v>
      </c>
      <c r="C32">
        <v>2034.3249399414599</v>
      </c>
      <c r="D32">
        <v>0.84198775075204702</v>
      </c>
    </row>
    <row r="33" spans="1:4">
      <c r="A33">
        <v>2034.43246634242</v>
      </c>
      <c r="B33">
        <v>0.80058830321150898</v>
      </c>
      <c r="C33">
        <v>2034.80994864175</v>
      </c>
      <c r="D33">
        <v>0.88292452531326604</v>
      </c>
    </row>
    <row r="34" spans="1:4">
      <c r="A34">
        <v>2034.90324323049</v>
      </c>
      <c r="B34">
        <v>0.83429029861059101</v>
      </c>
      <c r="C34">
        <v>2035.28768090211</v>
      </c>
      <c r="D34">
        <v>0.92077554175554299</v>
      </c>
    </row>
    <row r="35" spans="1:4">
      <c r="A35">
        <v>2035.37396443119</v>
      </c>
      <c r="B35">
        <v>0.86628826053443797</v>
      </c>
      <c r="C35">
        <v>2035.75830354698</v>
      </c>
      <c r="D35">
        <v>0.95520166128710204</v>
      </c>
    </row>
    <row r="36" spans="1:4">
      <c r="A36">
        <v>2035.97303264125</v>
      </c>
      <c r="B36">
        <v>0.90604904162324296</v>
      </c>
      <c r="C36">
        <v>2036.2258611448401</v>
      </c>
      <c r="D36">
        <v>0.98994018695578601</v>
      </c>
    </row>
    <row r="37" spans="1:4">
      <c r="A37">
        <v>2036.44366102967</v>
      </c>
      <c r="B37">
        <v>0.93520694775503299</v>
      </c>
      <c r="C37">
        <v>2036.6600085186799</v>
      </c>
      <c r="D37">
        <v>1.0226806661504</v>
      </c>
    </row>
    <row r="38" spans="1:4">
      <c r="A38">
        <v>2036.91428941809</v>
      </c>
      <c r="B38">
        <v>0.96436485388682303</v>
      </c>
      <c r="C38">
        <v>2037.1308658440601</v>
      </c>
      <c r="D38">
        <v>1.0588440432359301</v>
      </c>
    </row>
    <row r="39" spans="1:4">
      <c r="A39">
        <v>2037.38502299376</v>
      </c>
      <c r="B39">
        <v>0.99674148991627798</v>
      </c>
      <c r="C39">
        <v>2037.60182835669</v>
      </c>
      <c r="D39">
        <v>1.0982261502191299</v>
      </c>
    </row>
    <row r="40" spans="1:4">
      <c r="A40">
        <v>2037.85578750686</v>
      </c>
      <c r="B40">
        <v>1.0300648112097499</v>
      </c>
      <c r="C40">
        <v>2038.07279705681</v>
      </c>
      <c r="D40">
        <v>1.1377975942551299</v>
      </c>
    </row>
    <row r="41" spans="1:4">
      <c r="A41">
        <v>2038.32649014511</v>
      </c>
      <c r="B41">
        <v>1.06149476197518</v>
      </c>
      <c r="C41">
        <v>2038.54372863201</v>
      </c>
      <c r="D41">
        <v>1.17623301597431</v>
      </c>
    </row>
    <row r="42" spans="1:4">
      <c r="A42">
        <v>2038.79715565844</v>
      </c>
      <c r="B42">
        <v>1.0917886904237999</v>
      </c>
      <c r="C42">
        <v>2039.0147055821101</v>
      </c>
      <c r="D42">
        <v>1.2160569094140401</v>
      </c>
    </row>
    <row r="43" spans="1:4">
      <c r="A43">
        <v>2039.2678644841701</v>
      </c>
      <c r="B43">
        <v>1.1234079782420401</v>
      </c>
      <c r="C43">
        <v>2039.4857402820701</v>
      </c>
      <c r="D43">
        <v>1.2576479486799499</v>
      </c>
    </row>
    <row r="44" spans="1:4">
      <c r="A44">
        <v>2039.7385918723601</v>
      </c>
      <c r="B44">
        <v>1.1555952772186899</v>
      </c>
      <c r="C44">
        <v>2039.95669041973</v>
      </c>
      <c r="D44">
        <v>1.29665138155754</v>
      </c>
    </row>
    <row r="45" spans="1:4">
      <c r="A45">
        <v>2040.2088613866299</v>
      </c>
      <c r="B45">
        <v>1.1737716342878599</v>
      </c>
      <c r="C45">
        <v>2040.4268980591401</v>
      </c>
      <c r="D45">
        <v>1.31293436809867</v>
      </c>
    </row>
    <row r="46" spans="1:4">
      <c r="A46">
        <v>2040.67856783972</v>
      </c>
      <c r="B46">
        <v>1.17471831955187</v>
      </c>
      <c r="C46">
        <v>2040.89694482394</v>
      </c>
      <c r="D46">
        <v>1.3242945912669</v>
      </c>
    </row>
    <row r="47" spans="1:4">
      <c r="A47">
        <v>2041.1483732925899</v>
      </c>
      <c r="B47">
        <v>1.17869439766076</v>
      </c>
      <c r="C47">
        <v>2041.36707202604</v>
      </c>
      <c r="D47">
        <v>1.3381161961215799</v>
      </c>
    </row>
    <row r="48" spans="1:4">
      <c r="A48">
        <v>2041.6182220578501</v>
      </c>
      <c r="B48">
        <v>1.1839958351392601</v>
      </c>
      <c r="C48">
        <v>2041.8372796654601</v>
      </c>
      <c r="D48">
        <v>1.35439918266271</v>
      </c>
    </row>
    <row r="49" spans="1:4">
      <c r="A49">
        <v>2042.0880584481399</v>
      </c>
      <c r="B49">
        <v>1.18891859851216</v>
      </c>
      <c r="C49">
        <v>2042.30746874241</v>
      </c>
      <c r="D49">
        <v>1.3701141580454299</v>
      </c>
    </row>
    <row r="50" spans="1:4">
      <c r="A50">
        <v>2042.5578824634599</v>
      </c>
      <c r="B50">
        <v>1.1934626877794501</v>
      </c>
      <c r="C50">
        <v>2042.77765163189</v>
      </c>
      <c r="D50">
        <v>1.38563979637534</v>
      </c>
    </row>
    <row r="51" spans="1:4">
      <c r="A51">
        <v>2043.0277064787799</v>
      </c>
      <c r="B51">
        <v>1.19800677704675</v>
      </c>
      <c r="C51">
        <v>2043.24782214639</v>
      </c>
      <c r="D51">
        <v>1.40078676059965</v>
      </c>
    </row>
    <row r="52" spans="1:4">
      <c r="A52">
        <v>2043.49741293188</v>
      </c>
      <c r="B52">
        <v>1.1989534623107601</v>
      </c>
      <c r="C52">
        <v>2043.71794316101</v>
      </c>
      <c r="D52">
        <v>1.4144190284015199</v>
      </c>
    </row>
    <row r="53" spans="1:4">
      <c r="A53">
        <v>2043.9670884475499</v>
      </c>
      <c r="B53">
        <v>1.1989534623107601</v>
      </c>
      <c r="C53">
        <v>2044.1880827380801</v>
      </c>
      <c r="D53">
        <v>1.4286193073618101</v>
      </c>
    </row>
    <row r="54" spans="1:4">
      <c r="A54">
        <v>2044.4367639632201</v>
      </c>
      <c r="B54">
        <v>1.1989534623107601</v>
      </c>
      <c r="C54">
        <v>2044.6582223151599</v>
      </c>
      <c r="D54">
        <v>1.4428195863221001</v>
      </c>
    </row>
    <row r="55" spans="1:4">
      <c r="A55">
        <v>2044.9064332914099</v>
      </c>
      <c r="B55">
        <v>1.1987641252579599</v>
      </c>
      <c r="C55">
        <v>2045.1283495172599</v>
      </c>
      <c r="D55">
        <v>1.45664119117678</v>
      </c>
    </row>
    <row r="56" spans="1:4">
      <c r="A56">
        <v>2045.3759788698801</v>
      </c>
      <c r="B56">
        <v>1.1947880471490799</v>
      </c>
      <c r="C56">
        <v>2045.5984024695399</v>
      </c>
      <c r="D56">
        <v>1.4681907513978101</v>
      </c>
    </row>
    <row r="57" spans="1:4">
      <c r="A57">
        <v>2045.8455430108199</v>
      </c>
      <c r="B57">
        <v>1.19137998019861</v>
      </c>
      <c r="C57">
        <v>2046.06840592194</v>
      </c>
      <c r="D57">
        <v>1.4782256151964199</v>
      </c>
    </row>
    <row r="58" spans="1:4">
      <c r="A58">
        <v>2046.3149834020401</v>
      </c>
      <c r="B58">
        <v>1.18418517219207</v>
      </c>
      <c r="C58">
        <v>2046.5382979996</v>
      </c>
      <c r="D58">
        <v>1.4848524120445501</v>
      </c>
    </row>
    <row r="59" spans="1:4">
      <c r="A59">
        <v>2046.7843371684801</v>
      </c>
      <c r="B59">
        <v>1.17433964544627</v>
      </c>
      <c r="C59">
        <v>2047.00819626474</v>
      </c>
      <c r="D59">
        <v>1.4916685459454899</v>
      </c>
    </row>
    <row r="60" spans="1:4">
      <c r="A60">
        <v>2047.25378374719</v>
      </c>
      <c r="B60">
        <v>1.1673341744925301</v>
      </c>
      <c r="C60">
        <v>2047.47825540451</v>
      </c>
      <c r="D60">
        <v>1.5034074432193201</v>
      </c>
    </row>
    <row r="61" spans="1:4">
      <c r="A61">
        <v>2047.7233107632101</v>
      </c>
      <c r="B61">
        <v>1.16279008522523</v>
      </c>
      <c r="C61">
        <v>2047.94833929421</v>
      </c>
      <c r="D61">
        <v>1.51590368870438</v>
      </c>
    </row>
    <row r="62" spans="1:4">
      <c r="A62">
        <v>2048.19278209186</v>
      </c>
      <c r="B62">
        <v>1.15654196248271</v>
      </c>
      <c r="C62">
        <v>2048.4183056216998</v>
      </c>
      <c r="D62">
        <v>1.5248025301861601</v>
      </c>
    </row>
    <row r="63" spans="1:4">
      <c r="A63">
        <v>2048.6621234833201</v>
      </c>
      <c r="B63">
        <v>1.1463177616313001</v>
      </c>
      <c r="C63">
        <v>2048.8882224493</v>
      </c>
      <c r="D63">
        <v>1.53218667524551</v>
      </c>
    </row>
    <row r="64" spans="1:4">
      <c r="A64">
        <v>2049.13122975034</v>
      </c>
      <c r="B64">
        <v>1.1288987527733501</v>
      </c>
      <c r="C64">
        <v>2049.35764427807</v>
      </c>
      <c r="D64">
        <v>1.5244238560805501</v>
      </c>
    </row>
    <row r="65" spans="1:4">
      <c r="A65">
        <v>2049.5997791436698</v>
      </c>
      <c r="B65">
        <v>1.09443940916305</v>
      </c>
      <c r="C65">
        <v>2050</v>
      </c>
      <c r="D65">
        <v>1.50544622780728</v>
      </c>
    </row>
    <row r="66" spans="1:4">
      <c r="A66">
        <v>2050</v>
      </c>
      <c r="B66">
        <v>1.07294965366982</v>
      </c>
    </row>
  </sheetData>
  <sortState xmlns:xlrd2="http://schemas.microsoft.com/office/spreadsheetml/2017/richdata2" ref="C2:D65">
    <sortCondition ref="C2:C65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9440-4D7D-479C-A2BC-F592E43F1710}">
  <sheetPr>
    <tabColor rgb="FF00B0F0"/>
  </sheetPr>
  <dimension ref="A1:D67"/>
  <sheetViews>
    <sheetView tabSelected="1" topLeftCell="A52" workbookViewId="0">
      <selection activeCell="C67" sqref="C67"/>
    </sheetView>
  </sheetViews>
  <sheetFormatPr defaultRowHeight="14.25"/>
  <cols>
    <col min="2" max="2" width="16.7109375" bestFit="1" customWidth="1"/>
    <col min="4" max="4" width="19.42578125" bestFit="1" customWidth="1"/>
  </cols>
  <sheetData>
    <row r="1" spans="1:4">
      <c r="A1" t="s">
        <v>1</v>
      </c>
      <c r="B1" t="s">
        <v>86</v>
      </c>
      <c r="C1" t="s">
        <v>1</v>
      </c>
      <c r="D1" t="s">
        <v>87</v>
      </c>
    </row>
    <row r="2" spans="1:4">
      <c r="A2">
        <v>2020</v>
      </c>
      <c r="B2">
        <v>2.3807764139764398</v>
      </c>
      <c r="C2">
        <v>2020</v>
      </c>
      <c r="D2">
        <v>2.3908033600759202</v>
      </c>
    </row>
    <row r="3" spans="1:4">
      <c r="A3">
        <v>2020.65128092286</v>
      </c>
      <c r="B3">
        <v>2.6355383253457001</v>
      </c>
      <c r="C3">
        <v>2020.65128092286</v>
      </c>
      <c r="D3">
        <v>2.6355383253457001</v>
      </c>
    </row>
    <row r="4" spans="1:4">
      <c r="A4">
        <v>2021.1057130889999</v>
      </c>
      <c r="B4">
        <v>2.76821525798601</v>
      </c>
      <c r="C4">
        <v>2021.1057090874899</v>
      </c>
      <c r="D4">
        <v>2.7689734118868099</v>
      </c>
    </row>
    <row r="5" spans="1:4">
      <c r="A5">
        <v>2021.5605654143201</v>
      </c>
      <c r="B5">
        <v>2.8212860310421299</v>
      </c>
      <c r="C5">
        <v>2021.5605654143201</v>
      </c>
      <c r="D5">
        <v>2.8212860310421299</v>
      </c>
    </row>
    <row r="6" spans="1:4">
      <c r="A6">
        <v>2022.01537372297</v>
      </c>
      <c r="B6">
        <v>2.8826964970070601</v>
      </c>
      <c r="C6">
        <v>2022.01537372297</v>
      </c>
      <c r="D6">
        <v>2.8826964970070601</v>
      </c>
    </row>
    <row r="7" spans="1:4">
      <c r="A7">
        <v>2022.4700139679401</v>
      </c>
      <c r="B7">
        <v>2.9759494268056801</v>
      </c>
      <c r="C7">
        <v>2022.4700139679401</v>
      </c>
      <c r="D7">
        <v>2.9759494268056801</v>
      </c>
    </row>
    <row r="8" spans="1:4">
      <c r="A8">
        <v>2022.9246101962401</v>
      </c>
      <c r="B8">
        <v>3.0775420495131098</v>
      </c>
      <c r="C8">
        <v>2022.9246061947199</v>
      </c>
      <c r="D8">
        <v>3.0783002034139102</v>
      </c>
    </row>
    <row r="9" spans="1:4">
      <c r="A9">
        <v>2023.37913439725</v>
      </c>
      <c r="B9">
        <v>3.1927814424349701</v>
      </c>
      <c r="C9">
        <v>2023.37913039573</v>
      </c>
      <c r="D9">
        <v>3.19353959633577</v>
      </c>
    </row>
    <row r="10" spans="1:4">
      <c r="A10">
        <v>2023.83365059522</v>
      </c>
      <c r="B10">
        <v>3.3095371431584399</v>
      </c>
      <c r="C10">
        <v>2023.83365059522</v>
      </c>
      <c r="D10">
        <v>3.3095371431584399</v>
      </c>
    </row>
    <row r="11" spans="1:4">
      <c r="A11">
        <v>2024.28819080229</v>
      </c>
      <c r="B11">
        <v>3.4217439204770899</v>
      </c>
      <c r="C11">
        <v>2024.2880560455301</v>
      </c>
      <c r="D11">
        <v>3.4472758353707098</v>
      </c>
    </row>
    <row r="12" spans="1:4">
      <c r="A12">
        <v>2024.7428876791901</v>
      </c>
      <c r="B12">
        <v>3.5042669877310701</v>
      </c>
      <c r="C12">
        <v>2024.7425283278201</v>
      </c>
      <c r="D12">
        <v>3.5723520941140499</v>
      </c>
    </row>
    <row r="13" spans="1:4">
      <c r="A13">
        <v>2025.19751766028</v>
      </c>
      <c r="B13">
        <v>3.5994645825495302</v>
      </c>
      <c r="C13">
        <v>2025.19706549851</v>
      </c>
      <c r="D13">
        <v>3.6851341655688499</v>
      </c>
    </row>
    <row r="14" spans="1:4">
      <c r="A14">
        <v>2025.6521674964999</v>
      </c>
      <c r="B14">
        <v>3.69090028991734</v>
      </c>
      <c r="C14">
        <v>2025.65162332464</v>
      </c>
      <c r="D14">
        <v>3.79400271879285</v>
      </c>
    </row>
    <row r="15" spans="1:4">
      <c r="A15">
        <v>2026.1068148803699</v>
      </c>
      <c r="B15">
        <v>3.7828006367900699</v>
      </c>
      <c r="C15">
        <v>2026.10633341226</v>
      </c>
      <c r="D15">
        <v>3.8740227945686101</v>
      </c>
    </row>
    <row r="16" spans="1:4">
      <c r="A16">
        <v>2026.5616778763999</v>
      </c>
      <c r="B16">
        <v>3.83384966611071</v>
      </c>
      <c r="C16">
        <v>2026.56120424649</v>
      </c>
      <c r="D16">
        <v>3.9235867450721398</v>
      </c>
    </row>
    <row r="17" spans="1:4">
      <c r="A17">
        <v>2027.0164989012901</v>
      </c>
      <c r="B17">
        <v>3.8928508275509</v>
      </c>
      <c r="C17">
        <v>2027.0160497120701</v>
      </c>
      <c r="D17">
        <v>3.9779572105296301</v>
      </c>
    </row>
    <row r="18" spans="1:4">
      <c r="A18">
        <v>2027.4710296123801</v>
      </c>
      <c r="B18">
        <v>4.006856776017</v>
      </c>
      <c r="C18">
        <v>2027.4705592913499</v>
      </c>
      <c r="D18">
        <v>4.0959669336433002</v>
      </c>
    </row>
    <row r="19" spans="1:4">
      <c r="A19">
        <v>2027.9255832645499</v>
      </c>
      <c r="B19">
        <v>4.1165161551717899</v>
      </c>
      <c r="C19">
        <v>2027.9250469194601</v>
      </c>
      <c r="D19">
        <v>4.2181356724413597</v>
      </c>
    </row>
    <row r="20" spans="1:4">
      <c r="A20">
        <v>2028.3169035706701</v>
      </c>
      <c r="B20">
        <v>4.2067868332406197</v>
      </c>
      <c r="C20">
        <v>2028.37966920239</v>
      </c>
      <c r="D20">
        <v>4.3147918109547003</v>
      </c>
    </row>
    <row r="21" spans="1:4">
      <c r="A21">
        <v>2028.83478583449</v>
      </c>
      <c r="B21">
        <v>4.31778525818026</v>
      </c>
      <c r="C21">
        <v>2028.83420265071</v>
      </c>
      <c r="D21">
        <v>4.4282791457857904</v>
      </c>
    </row>
    <row r="22" spans="1:4">
      <c r="A22">
        <v>2029.30305762486</v>
      </c>
      <c r="B22">
        <v>4.4414184978609903</v>
      </c>
      <c r="C22">
        <v>2029.2887009247499</v>
      </c>
      <c r="D22">
        <v>4.5484308347106399</v>
      </c>
    </row>
    <row r="23" spans="1:4">
      <c r="A23">
        <v>2029.75641212184</v>
      </c>
      <c r="B23">
        <v>4.5772698317281399</v>
      </c>
      <c r="C23">
        <v>2029.74312908365</v>
      </c>
      <c r="D23">
        <v>4.6818670048573301</v>
      </c>
    </row>
    <row r="24" spans="1:4">
      <c r="A24">
        <v>2030.19843466259</v>
      </c>
      <c r="B24">
        <v>4.6490613266583196</v>
      </c>
      <c r="C24">
        <v>2030.2081312876901</v>
      </c>
      <c r="D24">
        <v>4.7717019241531604</v>
      </c>
    </row>
    <row r="25" spans="1:4">
      <c r="A25">
        <v>2030.6533603099799</v>
      </c>
      <c r="B25">
        <v>4.6882400117663696</v>
      </c>
      <c r="C25">
        <v>2030.6670939483599</v>
      </c>
      <c r="D25">
        <v>4.8299322934155597</v>
      </c>
    </row>
    <row r="26" spans="1:4">
      <c r="A26">
        <v>2031.0943679234299</v>
      </c>
      <c r="B26">
        <v>4.7513184163130697</v>
      </c>
      <c r="C26">
        <v>2031.10737759419</v>
      </c>
      <c r="D26">
        <v>4.8995232399701498</v>
      </c>
    </row>
    <row r="27" spans="1:4">
      <c r="A27">
        <v>2031.56290690074</v>
      </c>
      <c r="B27">
        <v>4.8243286369602698</v>
      </c>
      <c r="C27">
        <v>2031.56197882438</v>
      </c>
      <c r="D27">
        <v>5.0001681703015803</v>
      </c>
    </row>
    <row r="28" spans="1:4">
      <c r="A28">
        <v>2032.0313658255</v>
      </c>
      <c r="B28">
        <v>4.9125061475896299</v>
      </c>
      <c r="C28">
        <v>2032.0166523171899</v>
      </c>
      <c r="D28">
        <v>5.0871217440129897</v>
      </c>
    </row>
    <row r="29" spans="1:4">
      <c r="A29">
        <v>2032.4625749886</v>
      </c>
      <c r="B29">
        <v>4.96556157837637</v>
      </c>
      <c r="C29">
        <v>2032.4975480395799</v>
      </c>
      <c r="D29">
        <v>5.1569808859276902</v>
      </c>
    </row>
    <row r="30" spans="1:4">
      <c r="A30">
        <v>2032.8720544138</v>
      </c>
      <c r="B30">
        <v>5.0293720809548503</v>
      </c>
      <c r="C30">
        <v>2032.9151607374499</v>
      </c>
      <c r="D30">
        <v>5.2240927175229199</v>
      </c>
    </row>
    <row r="31" spans="1:4">
      <c r="A31">
        <v>2033.31311798559</v>
      </c>
      <c r="B31">
        <v>5.0818482452659302</v>
      </c>
      <c r="C31">
        <v>2033.3809116698999</v>
      </c>
      <c r="D31">
        <v>5.3027237483661596</v>
      </c>
    </row>
    <row r="32" spans="1:4">
      <c r="A32">
        <v>2033.7777202904999</v>
      </c>
      <c r="B32">
        <v>5.1541255838090203</v>
      </c>
      <c r="C32">
        <v>2033.8356119376101</v>
      </c>
      <c r="D32">
        <v>5.3846043696527497</v>
      </c>
    </row>
    <row r="33" spans="1:4">
      <c r="A33">
        <v>2034.2916166995501</v>
      </c>
      <c r="B33">
        <v>5.2193268192779696</v>
      </c>
      <c r="C33">
        <v>2034.2903682265501</v>
      </c>
      <c r="D33">
        <v>5.4558708363281099</v>
      </c>
    </row>
    <row r="34" spans="1:4">
      <c r="A34">
        <v>2034.74648903245</v>
      </c>
      <c r="B34">
        <v>5.2686068228300798</v>
      </c>
      <c r="C34">
        <v>2034.7451485245799</v>
      </c>
      <c r="D34">
        <v>5.5225883795986599</v>
      </c>
    </row>
    <row r="35" spans="1:4">
      <c r="A35">
        <v>2035.2013973789899</v>
      </c>
      <c r="B35">
        <v>5.31106344127498</v>
      </c>
      <c r="C35">
        <v>2035.19997684081</v>
      </c>
      <c r="D35">
        <v>5.5802080760595896</v>
      </c>
    </row>
    <row r="36" spans="1:4">
      <c r="A36">
        <v>2035.6563297346299</v>
      </c>
      <c r="B36">
        <v>5.3489711363150603</v>
      </c>
      <c r="C36">
        <v>2035.6548451721901</v>
      </c>
      <c r="D36">
        <v>5.6302462335124996</v>
      </c>
    </row>
    <row r="37" spans="1:4">
      <c r="A37">
        <v>2036.11125408724</v>
      </c>
      <c r="B37">
        <v>5.3883951391567599</v>
      </c>
      <c r="C37">
        <v>2036.10967348842</v>
      </c>
      <c r="D37">
        <v>5.68786592997344</v>
      </c>
    </row>
    <row r="38" spans="1:4">
      <c r="A38">
        <v>2036.5661664352999</v>
      </c>
      <c r="B38">
        <v>5.4300936037008496</v>
      </c>
      <c r="C38">
        <v>2036.56446178948</v>
      </c>
      <c r="D38">
        <v>5.7530671654423804</v>
      </c>
    </row>
    <row r="39" spans="1:4">
      <c r="A39">
        <v>2037.02109078791</v>
      </c>
      <c r="B39">
        <v>5.4695176065425404</v>
      </c>
      <c r="C39">
        <v>2037.0192420875101</v>
      </c>
      <c r="D39">
        <v>5.8197847087129304</v>
      </c>
    </row>
    <row r="40" spans="1:4">
      <c r="A40">
        <v>2037.4760151405201</v>
      </c>
      <c r="B40">
        <v>5.5089416093842303</v>
      </c>
      <c r="C40">
        <v>2037.47405039616</v>
      </c>
      <c r="D40">
        <v>5.8811951746778801</v>
      </c>
    </row>
    <row r="41" spans="1:4">
      <c r="A41">
        <v>2037.93097550677</v>
      </c>
      <c r="B41">
        <v>5.5415422271186996</v>
      </c>
      <c r="C41">
        <v>2037.9288747108701</v>
      </c>
      <c r="D41">
        <v>5.9395730250396097</v>
      </c>
    </row>
    <row r="42" spans="1:4">
      <c r="A42">
        <v>2038.3860839291201</v>
      </c>
      <c r="B42">
        <v>5.5460911505235098</v>
      </c>
      <c r="C42">
        <v>2038.3838190710601</v>
      </c>
      <c r="D42">
        <v>5.9752062583772902</v>
      </c>
    </row>
    <row r="43" spans="1:4">
      <c r="A43">
        <v>2038.84118834995</v>
      </c>
      <c r="B43">
        <v>5.5513982278291296</v>
      </c>
      <c r="C43">
        <v>2038.83877943731</v>
      </c>
      <c r="D43">
        <v>6.0078068761117596</v>
      </c>
    </row>
    <row r="44" spans="1:4">
      <c r="A44">
        <v>2039.2961647222701</v>
      </c>
      <c r="B44">
        <v>5.5809662299603904</v>
      </c>
      <c r="C44">
        <v>2039.29361575657</v>
      </c>
      <c r="D44">
        <v>6.0639102647710903</v>
      </c>
    </row>
    <row r="45" spans="1:4">
      <c r="A45">
        <v>2039.75111308397</v>
      </c>
      <c r="B45">
        <v>5.6158413093972701</v>
      </c>
      <c r="C45">
        <v>2039.7484040576301</v>
      </c>
      <c r="D45">
        <v>6.1291115002400396</v>
      </c>
    </row>
    <row r="46" spans="1:4">
      <c r="A46">
        <v>2040.2062935336101</v>
      </c>
      <c r="B46">
        <v>5.6067434625876498</v>
      </c>
      <c r="C46">
        <v>2040.2034204451099</v>
      </c>
      <c r="D46">
        <v>6.1510979633632896</v>
      </c>
    </row>
    <row r="47" spans="1:4">
      <c r="A47">
        <v>2040.66168606359</v>
      </c>
      <c r="B47">
        <v>5.5574634590355396</v>
      </c>
      <c r="C47">
        <v>2040.6586489129299</v>
      </c>
      <c r="D47">
        <v>6.1329022697440498</v>
      </c>
    </row>
    <row r="48" spans="1:4">
      <c r="A48">
        <v>2041.1170905981201</v>
      </c>
      <c r="B48">
        <v>5.5059089937810199</v>
      </c>
      <c r="C48">
        <v>2041.11387738076</v>
      </c>
      <c r="D48">
        <v>6.1147065761248101</v>
      </c>
    </row>
    <row r="49" spans="1:4">
      <c r="A49">
        <v>2041.5725111387101</v>
      </c>
      <c r="B49">
        <v>5.4513219129232997</v>
      </c>
      <c r="C49">
        <v>2041.56909784555</v>
      </c>
      <c r="D49">
        <v>6.0980271903071701</v>
      </c>
    </row>
    <row r="50" spans="1:4">
      <c r="A50">
        <v>2042.0279236762799</v>
      </c>
      <c r="B50">
        <v>5.3982511398671802</v>
      </c>
      <c r="C50">
        <v>2042.0243143088301</v>
      </c>
      <c r="D50">
        <v>6.0821059583903301</v>
      </c>
    </row>
    <row r="51" spans="1:4">
      <c r="A51">
        <v>2042.48332420929</v>
      </c>
      <c r="B51">
        <v>5.3474548285134604</v>
      </c>
      <c r="C51">
        <v>2042.4794787523999</v>
      </c>
      <c r="D51">
        <v>6.0760407271839201</v>
      </c>
    </row>
    <row r="52" spans="1:4">
      <c r="A52">
        <v>2042.9387247423099</v>
      </c>
      <c r="B52">
        <v>5.2966585171597496</v>
      </c>
      <c r="C52">
        <v>2042.93464719749</v>
      </c>
      <c r="D52">
        <v>6.0692173420767004</v>
      </c>
    </row>
    <row r="53" spans="1:4">
      <c r="A53">
        <v>2043.3941452828999</v>
      </c>
      <c r="B53">
        <v>5.2420714363020204</v>
      </c>
      <c r="C53">
        <v>2043.38983565016</v>
      </c>
      <c r="D53">
        <v>6.0586031874654802</v>
      </c>
    </row>
    <row r="54" spans="1:4">
      <c r="A54">
        <v>2043.8495658234999</v>
      </c>
      <c r="B54">
        <v>5.1874843554443002</v>
      </c>
      <c r="C54">
        <v>2043.8450241028199</v>
      </c>
      <c r="D54">
        <v>6.0479890328542503</v>
      </c>
    </row>
    <row r="55" spans="1:4">
      <c r="A55">
        <v>2044.30497035803</v>
      </c>
      <c r="B55">
        <v>5.1359298901897796</v>
      </c>
      <c r="C55">
        <v>2044.3001645372999</v>
      </c>
      <c r="D55">
        <v>6.0464727250526504</v>
      </c>
    </row>
    <row r="56" spans="1:4">
      <c r="A56">
        <v>2044.7603748925601</v>
      </c>
      <c r="B56">
        <v>5.0843754249352697</v>
      </c>
      <c r="C56">
        <v>2044.7552969687399</v>
      </c>
      <c r="D56">
        <v>6.0464727250526504</v>
      </c>
    </row>
    <row r="57" spans="1:4">
      <c r="A57">
        <v>2045.21581143922</v>
      </c>
      <c r="B57">
        <v>5.0267557284743303</v>
      </c>
      <c r="C57">
        <v>2045.2104494077601</v>
      </c>
      <c r="D57">
        <v>6.0426819555486402</v>
      </c>
    </row>
    <row r="58" spans="1:4">
      <c r="A58">
        <v>2045.6712679934601</v>
      </c>
      <c r="B58">
        <v>4.9653452625093903</v>
      </c>
      <c r="C58">
        <v>2045.66563385891</v>
      </c>
      <c r="D58">
        <v>6.0328259548382199</v>
      </c>
    </row>
    <row r="59" spans="1:4">
      <c r="A59">
        <v>2046.12676856437</v>
      </c>
      <c r="B59">
        <v>4.8955951036356398</v>
      </c>
      <c r="C59">
        <v>2046.1208423191599</v>
      </c>
      <c r="D59">
        <v>6.0184210307229904</v>
      </c>
    </row>
    <row r="60" spans="1:4">
      <c r="A60">
        <v>2046.58234116258</v>
      </c>
      <c r="B60">
        <v>4.8121981745474498</v>
      </c>
      <c r="C60">
        <v>2046.5761348112401</v>
      </c>
      <c r="D60">
        <v>5.9880948746909199</v>
      </c>
    </row>
    <row r="61" spans="1:4">
      <c r="A61">
        <v>2047.03789775471</v>
      </c>
      <c r="B61">
        <v>4.7318338610624604</v>
      </c>
      <c r="C61">
        <v>2047.0314193002901</v>
      </c>
      <c r="D61">
        <v>5.9592850264604502</v>
      </c>
    </row>
    <row r="62" spans="1:4">
      <c r="A62">
        <v>2047.4934023271501</v>
      </c>
      <c r="B62">
        <v>4.6613255482879001</v>
      </c>
      <c r="C62">
        <v>2047.4865957484101</v>
      </c>
      <c r="D62">
        <v>5.9509453335516298</v>
      </c>
    </row>
    <row r="63" spans="1:4">
      <c r="A63">
        <v>2047.94889889655</v>
      </c>
      <c r="B63">
        <v>4.5923335433149504</v>
      </c>
      <c r="C63">
        <v>2047.94178820259</v>
      </c>
      <c r="D63">
        <v>5.9395730250396097</v>
      </c>
    </row>
    <row r="64" spans="1:4">
      <c r="A64">
        <v>2048.4043954659401</v>
      </c>
      <c r="B64">
        <v>4.5233415383419899</v>
      </c>
      <c r="C64">
        <v>2048.3969926613199</v>
      </c>
      <c r="D64">
        <v>5.9259262548251801</v>
      </c>
    </row>
    <row r="65" spans="1:4">
      <c r="A65">
        <v>2048.8598960368599</v>
      </c>
      <c r="B65">
        <v>4.4535913794682296</v>
      </c>
      <c r="C65">
        <v>2048.8521971200498</v>
      </c>
      <c r="D65">
        <v>5.9122794846107496</v>
      </c>
    </row>
    <row r="66" spans="1:4">
      <c r="A66">
        <v>2049.3154726365801</v>
      </c>
      <c r="B66">
        <v>4.3694362964792397</v>
      </c>
      <c r="C66">
        <v>2049.30743359091</v>
      </c>
      <c r="D66">
        <v>5.8925674831899002</v>
      </c>
    </row>
    <row r="67" spans="1:4">
      <c r="A67">
        <v>2050</v>
      </c>
      <c r="B67">
        <v>4.2345793404983096</v>
      </c>
      <c r="C67">
        <v>2050</v>
      </c>
      <c r="D67">
        <v>5.8658611512727896</v>
      </c>
    </row>
  </sheetData>
  <sortState xmlns:xlrd2="http://schemas.microsoft.com/office/spreadsheetml/2017/richdata2" ref="C2:D67">
    <sortCondition ref="C2:C67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0662-C32B-4D4F-A68F-C972943EDE6F}">
  <sheetPr>
    <tabColor rgb="FFFF0000"/>
  </sheetPr>
  <dimension ref="A1:D66"/>
  <sheetViews>
    <sheetView workbookViewId="0">
      <selection activeCell="D59" sqref="D59"/>
    </sheetView>
  </sheetViews>
  <sheetFormatPr defaultRowHeight="14.25"/>
  <sheetData>
    <row r="1" spans="1:4">
      <c r="A1" t="s">
        <v>1</v>
      </c>
      <c r="B1" t="s">
        <v>88</v>
      </c>
      <c r="C1" t="s">
        <v>1</v>
      </c>
      <c r="D1" t="s">
        <v>89</v>
      </c>
    </row>
    <row r="2" spans="1:4">
      <c r="A2">
        <v>2020</v>
      </c>
      <c r="B2">
        <v>147.76876936202501</v>
      </c>
      <c r="C2">
        <v>2020</v>
      </c>
      <c r="D2">
        <v>156.42597621200201</v>
      </c>
    </row>
    <row r="3" spans="1:4">
      <c r="A3">
        <v>2020.6578500513499</v>
      </c>
      <c r="B3">
        <v>158.27535290361399</v>
      </c>
      <c r="C3">
        <v>2020.35633936305</v>
      </c>
      <c r="D3">
        <v>164.58360332806399</v>
      </c>
    </row>
    <row r="4" spans="1:4">
      <c r="A4">
        <v>2021.12889388608</v>
      </c>
      <c r="B4">
        <v>167.81794036492599</v>
      </c>
      <c r="C4">
        <v>2020.7184860514401</v>
      </c>
      <c r="D4">
        <v>173.684318858566</v>
      </c>
    </row>
    <row r="5" spans="1:4">
      <c r="A5">
        <v>2021.4435806257</v>
      </c>
      <c r="B5">
        <v>172.21301226625201</v>
      </c>
      <c r="C5">
        <v>2021.12889388608</v>
      </c>
      <c r="D5">
        <v>184.17666172717699</v>
      </c>
    </row>
    <row r="6" spans="1:4">
      <c r="A6">
        <v>2021.8140485547699</v>
      </c>
      <c r="B6">
        <v>176.565312204463</v>
      </c>
      <c r="C6">
        <v>2021.59993772081</v>
      </c>
      <c r="D6">
        <v>192.35602240830301</v>
      </c>
    </row>
    <row r="7" spans="1:4">
      <c r="A7">
        <v>2022.2850923895001</v>
      </c>
      <c r="B7">
        <v>182.47262825194301</v>
      </c>
      <c r="C7">
        <v>2022.0709815555299</v>
      </c>
      <c r="D7">
        <v>200.30817862606401</v>
      </c>
    </row>
    <row r="8" spans="1:4">
      <c r="A8">
        <v>2022.75613622423</v>
      </c>
      <c r="B8">
        <v>188.37994429942199</v>
      </c>
      <c r="C8">
        <v>2022.5420253902601</v>
      </c>
      <c r="D8">
        <v>208.14673261214199</v>
      </c>
    </row>
    <row r="9" spans="1:4">
      <c r="A9">
        <v>2023.2271800589499</v>
      </c>
      <c r="B9">
        <v>194.62806704194901</v>
      </c>
      <c r="C9">
        <v>2023.01306922499</v>
      </c>
      <c r="D9">
        <v>215.81488325069699</v>
      </c>
    </row>
    <row r="10" spans="1:4">
      <c r="A10">
        <v>2023.6982238936801</v>
      </c>
      <c r="B10">
        <v>200.989792016157</v>
      </c>
      <c r="C10">
        <v>2023.4841130597099</v>
      </c>
      <c r="D10">
        <v>222.80142049915901</v>
      </c>
    </row>
    <row r="11" spans="1:4">
      <c r="A11">
        <v>2024.1692677284</v>
      </c>
      <c r="B11">
        <v>208.77154488639499</v>
      </c>
      <c r="C11">
        <v>2023.9551568944401</v>
      </c>
      <c r="D11">
        <v>230.242366674349</v>
      </c>
    </row>
    <row r="12" spans="1:4">
      <c r="A12">
        <v>2024.6403115631299</v>
      </c>
      <c r="B12">
        <v>217.68932007345501</v>
      </c>
      <c r="C12">
        <v>2024.42620072916</v>
      </c>
      <c r="D12">
        <v>240.52336864159699</v>
      </c>
    </row>
    <row r="13" spans="1:4">
      <c r="A13">
        <v>2025.1113553978601</v>
      </c>
      <c r="B13">
        <v>225.584675175375</v>
      </c>
      <c r="C13">
        <v>2024.8972445638899</v>
      </c>
      <c r="D13">
        <v>250.917972840527</v>
      </c>
    </row>
    <row r="14" spans="1:4">
      <c r="A14">
        <v>2025.58239923258</v>
      </c>
      <c r="B14">
        <v>230.81037783276099</v>
      </c>
      <c r="C14">
        <v>2025.3682883986201</v>
      </c>
      <c r="D14">
        <v>258.18851566819399</v>
      </c>
    </row>
    <row r="15" spans="1:4">
      <c r="A15">
        <v>2026.0534430673099</v>
      </c>
      <c r="B15">
        <v>236.14968272182901</v>
      </c>
      <c r="C15">
        <v>2025.83933223334</v>
      </c>
      <c r="D15">
        <v>264.77744510576798</v>
      </c>
    </row>
    <row r="16" spans="1:4">
      <c r="A16">
        <v>2026.52448690203</v>
      </c>
      <c r="B16">
        <v>242.28420323267301</v>
      </c>
      <c r="C16">
        <v>2026.3103760680699</v>
      </c>
      <c r="D16">
        <v>271.99118681759398</v>
      </c>
    </row>
    <row r="17" spans="1:4">
      <c r="A17">
        <v>2026.99553073676</v>
      </c>
      <c r="B17">
        <v>248.64592820688199</v>
      </c>
      <c r="C17">
        <v>2026.78141990279</v>
      </c>
      <c r="D17">
        <v>279.48893410862598</v>
      </c>
    </row>
    <row r="18" spans="1:4">
      <c r="A18">
        <v>2027.4665745714899</v>
      </c>
      <c r="B18">
        <v>255.291658760296</v>
      </c>
      <c r="C18">
        <v>2027.25246373752</v>
      </c>
      <c r="D18">
        <v>287.44109032638602</v>
      </c>
    </row>
    <row r="19" spans="1:4">
      <c r="A19">
        <v>2027.93761840621</v>
      </c>
      <c r="B19">
        <v>262.39179824043998</v>
      </c>
      <c r="C19">
        <v>2027.7235075722499</v>
      </c>
      <c r="D19">
        <v>295.734053239194</v>
      </c>
    </row>
    <row r="20" spans="1:4">
      <c r="A20">
        <v>2028.40866224094</v>
      </c>
      <c r="B20">
        <v>271.195971195818</v>
      </c>
      <c r="C20">
        <v>2028.19455140697</v>
      </c>
      <c r="D20">
        <v>304.879032889619</v>
      </c>
    </row>
    <row r="21" spans="1:4">
      <c r="A21">
        <v>2028.8797060756599</v>
      </c>
      <c r="B21">
        <v>280.28414973040202</v>
      </c>
      <c r="C21">
        <v>2028.6655952417</v>
      </c>
      <c r="D21">
        <v>315.671244899437</v>
      </c>
    </row>
    <row r="22" spans="1:4">
      <c r="A22">
        <v>2029.35074991039</v>
      </c>
      <c r="B22">
        <v>288.63391375905098</v>
      </c>
      <c r="C22">
        <v>2029.1366390764199</v>
      </c>
      <c r="D22">
        <v>326.12265021420899</v>
      </c>
    </row>
    <row r="23" spans="1:4">
      <c r="A23">
        <v>2029.82179374512</v>
      </c>
      <c r="B23">
        <v>296.642871092652</v>
      </c>
      <c r="C23">
        <v>2029.6076829111501</v>
      </c>
      <c r="D23">
        <v>336.17644771809199</v>
      </c>
    </row>
    <row r="24" spans="1:4">
      <c r="A24">
        <v>2030.2928375798399</v>
      </c>
      <c r="B24">
        <v>302.83419271933798</v>
      </c>
      <c r="C24">
        <v>2030.07872674588</v>
      </c>
      <c r="D24">
        <v>345.15102402099399</v>
      </c>
    </row>
    <row r="25" spans="1:4">
      <c r="A25">
        <v>2030.7638814145701</v>
      </c>
      <c r="B25">
        <v>307.94629314504101</v>
      </c>
      <c r="C25">
        <v>2030.5497705805999</v>
      </c>
      <c r="D25">
        <v>352.08076015361399</v>
      </c>
    </row>
    <row r="26" spans="1:4">
      <c r="A26">
        <v>2031.23492524929</v>
      </c>
      <c r="B26">
        <v>312.547183528174</v>
      </c>
      <c r="C26">
        <v>2031.0208144153301</v>
      </c>
      <c r="D26">
        <v>358.840092938711</v>
      </c>
    </row>
    <row r="27" spans="1:4">
      <c r="A27">
        <v>2031.7059690840199</v>
      </c>
      <c r="B27">
        <v>316.80726721626002</v>
      </c>
      <c r="C27">
        <v>2031.49185825005</v>
      </c>
      <c r="D27">
        <v>365.03141456539601</v>
      </c>
    </row>
    <row r="28" spans="1:4">
      <c r="A28">
        <v>2032.1770129187501</v>
      </c>
      <c r="B28">
        <v>320.15853305088802</v>
      </c>
      <c r="C28">
        <v>2031.9629020847799</v>
      </c>
      <c r="D28">
        <v>370.93873061287599</v>
      </c>
    </row>
    <row r="29" spans="1:4">
      <c r="A29">
        <v>2032.64805675347</v>
      </c>
      <c r="B29">
        <v>322.430577684534</v>
      </c>
      <c r="C29">
        <v>2032.4339459195101</v>
      </c>
      <c r="D29">
        <v>375.76682545937302</v>
      </c>
    </row>
    <row r="30" spans="1:4">
      <c r="A30">
        <v>2033.1191005881999</v>
      </c>
      <c r="B30">
        <v>323.62340111719902</v>
      </c>
      <c r="C30">
        <v>2032.90498975423</v>
      </c>
      <c r="D30">
        <v>380.08371026330099</v>
      </c>
    </row>
    <row r="31" spans="1:4">
      <c r="A31">
        <v>2033.5901444229301</v>
      </c>
      <c r="B31">
        <v>322.48737880037601</v>
      </c>
      <c r="C31">
        <v>2033.3760335889599</v>
      </c>
      <c r="D31">
        <v>382.24215266526397</v>
      </c>
    </row>
    <row r="32" spans="1:4">
      <c r="A32">
        <v>2034.06118825765</v>
      </c>
      <c r="B32">
        <v>321.29455536771098</v>
      </c>
      <c r="C32">
        <v>2033.84707742368</v>
      </c>
      <c r="D32">
        <v>383.54857832961102</v>
      </c>
    </row>
    <row r="33" spans="1:4">
      <c r="A33">
        <v>2034.5322320923799</v>
      </c>
      <c r="B33">
        <v>319.42011854495399</v>
      </c>
      <c r="C33">
        <v>2034.31812125841</v>
      </c>
      <c r="D33">
        <v>384.74140176227502</v>
      </c>
    </row>
    <row r="34" spans="1:4">
      <c r="A34">
        <v>2035.0032759271</v>
      </c>
      <c r="B34">
        <v>318.05689176476602</v>
      </c>
      <c r="C34">
        <v>2034.7891650931399</v>
      </c>
      <c r="D34">
        <v>385.82062296325699</v>
      </c>
    </row>
    <row r="35" spans="1:4">
      <c r="A35">
        <v>2035.47431976183</v>
      </c>
      <c r="B35">
        <v>319.136112965748</v>
      </c>
      <c r="C35">
        <v>2035.26020892786</v>
      </c>
      <c r="D35">
        <v>389.34229214540801</v>
      </c>
    </row>
    <row r="36" spans="1:4">
      <c r="A36">
        <v>2035.9453635965599</v>
      </c>
      <c r="B36">
        <v>320.44253863009402</v>
      </c>
      <c r="C36">
        <v>2035.73125276259</v>
      </c>
      <c r="D36">
        <v>394.39759145527</v>
      </c>
    </row>
    <row r="37" spans="1:4">
      <c r="A37">
        <v>2036.41640743128</v>
      </c>
      <c r="B37">
        <v>321.35135648355299</v>
      </c>
      <c r="C37">
        <v>2036.2022965973199</v>
      </c>
      <c r="D37">
        <v>399.56649299681499</v>
      </c>
    </row>
    <row r="38" spans="1:4">
      <c r="A38">
        <v>2036.88745126601</v>
      </c>
      <c r="B38">
        <v>322.430577684534</v>
      </c>
      <c r="C38">
        <v>2036.67334043204</v>
      </c>
      <c r="D38">
        <v>404.90579788588298</v>
      </c>
    </row>
    <row r="39" spans="1:4">
      <c r="A39">
        <v>2037.3584951007299</v>
      </c>
      <c r="B39">
        <v>323.28259442215199</v>
      </c>
      <c r="C39">
        <v>2037.14438426677</v>
      </c>
      <c r="D39">
        <v>410.18830165910998</v>
      </c>
    </row>
    <row r="40" spans="1:4">
      <c r="A40">
        <v>2037.8295389354601</v>
      </c>
      <c r="B40">
        <v>323.68020223304001</v>
      </c>
      <c r="C40">
        <v>2037.6154281014899</v>
      </c>
      <c r="D40">
        <v>415.58440766401901</v>
      </c>
    </row>
    <row r="41" spans="1:4">
      <c r="A41">
        <v>2038.30058277019</v>
      </c>
      <c r="B41">
        <v>323.68020223304001</v>
      </c>
      <c r="C41">
        <v>2038.0864719362201</v>
      </c>
      <c r="D41">
        <v>420.81011032140498</v>
      </c>
    </row>
    <row r="42" spans="1:4">
      <c r="A42">
        <v>2038.7716266049099</v>
      </c>
      <c r="B42">
        <v>323.68020223304001</v>
      </c>
      <c r="C42">
        <v>2038.55751577095</v>
      </c>
      <c r="D42">
        <v>425.97901186294899</v>
      </c>
    </row>
    <row r="43" spans="1:4">
      <c r="A43">
        <v>2039.2426704396401</v>
      </c>
      <c r="B43">
        <v>323.68020223304001</v>
      </c>
      <c r="C43">
        <v>2039.0285596056699</v>
      </c>
      <c r="D43">
        <v>431.20471452033502</v>
      </c>
    </row>
    <row r="44" spans="1:4">
      <c r="A44">
        <v>2039.71371427436</v>
      </c>
      <c r="B44">
        <v>323.68020223304001</v>
      </c>
      <c r="C44">
        <v>2039.4996034404001</v>
      </c>
      <c r="D44">
        <v>436.88482610444998</v>
      </c>
    </row>
    <row r="45" spans="1:4">
      <c r="A45">
        <v>2040.1847581090899</v>
      </c>
      <c r="B45">
        <v>321.91936764196402</v>
      </c>
      <c r="C45">
        <v>2039.97064727512</v>
      </c>
      <c r="D45">
        <v>442.053727645994</v>
      </c>
    </row>
    <row r="46" spans="1:4">
      <c r="A46">
        <v>2040.6558019438201</v>
      </c>
      <c r="B46">
        <v>318.34089734397202</v>
      </c>
      <c r="C46">
        <v>2040.4416911098499</v>
      </c>
      <c r="D46">
        <v>444.66657897468701</v>
      </c>
    </row>
    <row r="47" spans="1:4">
      <c r="A47">
        <v>2041.12684577854</v>
      </c>
      <c r="B47">
        <v>315.04643262518499</v>
      </c>
      <c r="C47">
        <v>2040.9127349445801</v>
      </c>
      <c r="D47">
        <v>446.93862360833299</v>
      </c>
    </row>
    <row r="48" spans="1:4">
      <c r="A48">
        <v>2041.5978896132699</v>
      </c>
      <c r="B48">
        <v>312.376780180651</v>
      </c>
      <c r="C48">
        <v>2041.3837787793</v>
      </c>
      <c r="D48">
        <v>449.60827605286698</v>
      </c>
    </row>
    <row r="49" spans="1:4">
      <c r="A49">
        <v>2042.06893344799</v>
      </c>
      <c r="B49">
        <v>309.82072996779902</v>
      </c>
      <c r="C49">
        <v>2041.8548226140299</v>
      </c>
      <c r="D49">
        <v>452.61873519244801</v>
      </c>
    </row>
    <row r="50" spans="1:4">
      <c r="A50">
        <v>2042.53997728272</v>
      </c>
      <c r="B50">
        <v>307.09427640742399</v>
      </c>
      <c r="C50">
        <v>2042.32586644875</v>
      </c>
      <c r="D50">
        <v>455.74279656371101</v>
      </c>
    </row>
    <row r="51" spans="1:4">
      <c r="A51">
        <v>2043.0110211174499</v>
      </c>
      <c r="B51">
        <v>304.36782284704901</v>
      </c>
      <c r="C51">
        <v>2042.79691028348</v>
      </c>
      <c r="D51">
        <v>459.03726128249798</v>
      </c>
    </row>
    <row r="52" spans="1:4">
      <c r="A52">
        <v>2043.48206495217</v>
      </c>
      <c r="B52">
        <v>301.18696035994498</v>
      </c>
      <c r="C52">
        <v>2043.2679541182099</v>
      </c>
      <c r="D52">
        <v>461.877317074556</v>
      </c>
    </row>
    <row r="53" spans="1:4">
      <c r="A53">
        <v>2043.9531087869</v>
      </c>
      <c r="B53">
        <v>297.89249564115801</v>
      </c>
      <c r="C53">
        <v>2043.73899795293</v>
      </c>
      <c r="D53">
        <v>464.66057175077202</v>
      </c>
    </row>
    <row r="54" spans="1:4">
      <c r="A54">
        <v>2044.4241526216299</v>
      </c>
      <c r="B54">
        <v>294.48442869068901</v>
      </c>
      <c r="C54">
        <v>2044.21004178766</v>
      </c>
      <c r="D54">
        <v>467.387025311147</v>
      </c>
    </row>
    <row r="55" spans="1:4">
      <c r="A55">
        <v>2044.89519645635</v>
      </c>
      <c r="B55">
        <v>291.07636174022002</v>
      </c>
      <c r="C55">
        <v>2044.6810856223799</v>
      </c>
      <c r="D55">
        <v>470.05667775568099</v>
      </c>
    </row>
    <row r="56" spans="1:4">
      <c r="A56">
        <v>2045.36624029108</v>
      </c>
      <c r="B56">
        <v>287.384289210546</v>
      </c>
      <c r="C56">
        <v>2045.15212945711</v>
      </c>
      <c r="D56">
        <v>472.55592685269198</v>
      </c>
    </row>
    <row r="57" spans="1:4">
      <c r="A57">
        <v>2045.8372841257999</v>
      </c>
      <c r="B57">
        <v>283.69221668087101</v>
      </c>
      <c r="C57">
        <v>2045.62317329184</v>
      </c>
      <c r="D57">
        <v>474.54396590713202</v>
      </c>
    </row>
    <row r="58" spans="1:4">
      <c r="A58">
        <v>2046.3083279605301</v>
      </c>
      <c r="B58">
        <v>279.31853076110201</v>
      </c>
      <c r="C58">
        <v>2046.0942171265599</v>
      </c>
      <c r="D58">
        <v>476.47520384573102</v>
      </c>
    </row>
    <row r="59" spans="1:4">
      <c r="A59">
        <v>2046.77937179526</v>
      </c>
      <c r="B59">
        <v>274.71764037796902</v>
      </c>
      <c r="C59">
        <v>2046.5652609612901</v>
      </c>
      <c r="D59">
        <v>477.61122616255398</v>
      </c>
    </row>
    <row r="60" spans="1:4">
      <c r="A60">
        <v>2047.2504156299799</v>
      </c>
      <c r="B60">
        <v>270.96876673245299</v>
      </c>
      <c r="C60">
        <v>2047.03630479602</v>
      </c>
      <c r="D60">
        <v>478.97445294274098</v>
      </c>
    </row>
    <row r="61" spans="1:4">
      <c r="A61">
        <v>2047.7214594647101</v>
      </c>
      <c r="B61">
        <v>267.67430201366699</v>
      </c>
      <c r="C61">
        <v>2047.5073486307399</v>
      </c>
      <c r="D61">
        <v>481.303298692228</v>
      </c>
    </row>
    <row r="62" spans="1:4">
      <c r="A62">
        <v>2048.19250329943</v>
      </c>
      <c r="B62">
        <v>264.55024064240399</v>
      </c>
      <c r="C62">
        <v>2047.9783924654701</v>
      </c>
      <c r="D62">
        <v>483.57534332587397</v>
      </c>
    </row>
    <row r="63" spans="1:4">
      <c r="A63">
        <v>2048.6635471341601</v>
      </c>
      <c r="B63">
        <v>261.25577592361702</v>
      </c>
      <c r="C63">
        <v>2048.44943630019</v>
      </c>
      <c r="D63">
        <v>485.62018349615602</v>
      </c>
    </row>
    <row r="64" spans="1:4">
      <c r="A64">
        <v>2049.1345909688898</v>
      </c>
      <c r="B64">
        <v>257.33649893057799</v>
      </c>
      <c r="C64">
        <v>2048.9204801349201</v>
      </c>
      <c r="D64">
        <v>487.49462031891397</v>
      </c>
    </row>
    <row r="65" spans="1:4">
      <c r="A65">
        <v>2049.60563480361</v>
      </c>
      <c r="B65">
        <v>252.05399515735101</v>
      </c>
      <c r="C65">
        <v>2049.3915239696498</v>
      </c>
      <c r="D65">
        <v>489.31225602582998</v>
      </c>
    </row>
    <row r="66" spans="1:4">
      <c r="A66">
        <v>2050</v>
      </c>
      <c r="B66">
        <v>248.702729322723</v>
      </c>
      <c r="C66">
        <v>2050</v>
      </c>
      <c r="D66">
        <v>491.73064461781598</v>
      </c>
    </row>
  </sheetData>
  <sortState xmlns:xlrd2="http://schemas.microsoft.com/office/spreadsheetml/2017/richdata2" ref="C2:D66">
    <sortCondition ref="C2:C66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5E13-4779-40C3-8DB1-FF6E32C58FCE}">
  <sheetPr>
    <tabColor rgb="FF00B050"/>
  </sheetPr>
  <dimension ref="A1:I13"/>
  <sheetViews>
    <sheetView workbookViewId="0">
      <selection activeCell="F32" sqref="F32"/>
    </sheetView>
  </sheetViews>
  <sheetFormatPr defaultRowHeight="14.25"/>
  <cols>
    <col min="1" max="1" width="32.140625" customWidth="1"/>
    <col min="2" max="2" width="41.140625" customWidth="1"/>
    <col min="3" max="3" width="30.85546875" customWidth="1"/>
    <col min="4" max="4" width="39.140625" customWidth="1"/>
    <col min="5" max="5" width="43.7109375" customWidth="1"/>
    <col min="6" max="6" width="37.5703125" customWidth="1"/>
    <col min="7" max="7" width="35.7109375" customWidth="1"/>
    <col min="8" max="8" width="43.42578125" customWidth="1"/>
    <col min="9" max="9" width="29.85546875" customWidth="1"/>
    <col min="10" max="10" width="22.140625" customWidth="1"/>
  </cols>
  <sheetData>
    <row r="1" spans="1:9" ht="15">
      <c r="A1" t="s">
        <v>0</v>
      </c>
      <c r="B1" t="s">
        <v>2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 spans="1:9" ht="15">
      <c r="A2" t="s">
        <v>97</v>
      </c>
      <c r="B2">
        <v>4.92116868798235</v>
      </c>
      <c r="C2">
        <v>2.0904079382579503</v>
      </c>
      <c r="D2">
        <v>2.2646085997795389</v>
      </c>
      <c r="E2">
        <v>2.5259095920612609</v>
      </c>
      <c r="I2">
        <v>1.1979051819188999</v>
      </c>
    </row>
    <row r="3" spans="1:9" ht="15">
      <c r="A3" t="s">
        <v>98</v>
      </c>
      <c r="B3">
        <v>6.92447629547961</v>
      </c>
      <c r="C3">
        <v>5.0953693495026906</v>
      </c>
      <c r="D3">
        <v>2.4388092613020991</v>
      </c>
      <c r="E3">
        <v>3.3533627342888987</v>
      </c>
      <c r="I3">
        <v>1.1879823594267016</v>
      </c>
    </row>
    <row r="4" spans="1:9" ht="15">
      <c r="A4" t="s">
        <v>99</v>
      </c>
      <c r="B4">
        <v>8.7535832414553401</v>
      </c>
      <c r="C4">
        <v>6.2712238147724602</v>
      </c>
      <c r="D4">
        <v>2.613009922823899</v>
      </c>
      <c r="E4">
        <v>4.3550165380375994</v>
      </c>
      <c r="H4">
        <v>4.311466372657101</v>
      </c>
      <c r="I4">
        <v>1.6957001102536005</v>
      </c>
    </row>
    <row r="5" spans="1:9" ht="15">
      <c r="A5" t="s">
        <v>100</v>
      </c>
      <c r="B5">
        <v>8.0567805953693394</v>
      </c>
      <c r="C5">
        <v>6.4454244762954609</v>
      </c>
      <c r="D5">
        <v>3.3969128996692994</v>
      </c>
      <c r="E5">
        <v>4.6163175303195985</v>
      </c>
      <c r="F5">
        <v>1.6984564498347012</v>
      </c>
      <c r="G5">
        <v>0.34840132304299942</v>
      </c>
      <c r="H5">
        <v>6.3583241455347022</v>
      </c>
      <c r="I5">
        <v>1.079382579933899</v>
      </c>
    </row>
    <row r="6" spans="1:9" ht="15">
      <c r="A6" t="s">
        <v>101</v>
      </c>
      <c r="B6">
        <v>7.7519294377067496</v>
      </c>
      <c r="C6">
        <v>6.4889746416758509</v>
      </c>
      <c r="D6">
        <v>3.4404630650496006</v>
      </c>
      <c r="E6">
        <v>4.7469680264607987</v>
      </c>
      <c r="F6">
        <v>3.3533627342889005</v>
      </c>
      <c r="G6">
        <v>0.78390297684670074</v>
      </c>
      <c r="H6">
        <v>5.3131201764057003</v>
      </c>
      <c r="I6">
        <v>1.1212789415656985</v>
      </c>
    </row>
    <row r="7" spans="1:9" ht="15">
      <c r="A7" t="s">
        <v>102</v>
      </c>
      <c r="B7">
        <v>6.8809261300992102</v>
      </c>
      <c r="C7">
        <v>7.0115766262402897</v>
      </c>
      <c r="D7">
        <v>3.4840132304300013</v>
      </c>
      <c r="E7">
        <v>4.7905181918411976</v>
      </c>
      <c r="F7">
        <v>4.1372657111357007</v>
      </c>
      <c r="G7">
        <v>0.87100330760750211</v>
      </c>
      <c r="H7">
        <v>7.4035281146636969</v>
      </c>
      <c r="I7">
        <v>1.4211686879824015</v>
      </c>
    </row>
    <row r="8" spans="1:9" ht="15">
      <c r="A8" t="s">
        <v>103</v>
      </c>
      <c r="B8">
        <v>5.0082690187431202</v>
      </c>
      <c r="C8">
        <v>6.8809261300992803</v>
      </c>
      <c r="D8">
        <v>4.3114663726569979</v>
      </c>
      <c r="E8">
        <v>5.3566703417861028</v>
      </c>
      <c r="F8">
        <v>5.7050716648290987</v>
      </c>
      <c r="G8">
        <v>4.5292171995589996</v>
      </c>
      <c r="H8">
        <v>9.9729878721058007</v>
      </c>
      <c r="I8">
        <v>0.23539140022059968</v>
      </c>
    </row>
    <row r="9" spans="1:9" ht="15">
      <c r="A9" t="s">
        <v>104</v>
      </c>
      <c r="B9">
        <v>4.79051819184129</v>
      </c>
      <c r="C9">
        <v>6.4454244762955106</v>
      </c>
      <c r="D9">
        <v>4.7034178610803998</v>
      </c>
      <c r="E9">
        <v>5.4873208379272</v>
      </c>
      <c r="F9">
        <v>8.274531422271199</v>
      </c>
      <c r="G9">
        <v>5.4437706725468971</v>
      </c>
      <c r="H9">
        <v>12.977949283351705</v>
      </c>
      <c r="I9">
        <v>1.877067254685798</v>
      </c>
    </row>
    <row r="10" spans="1:9" ht="15">
      <c r="A10" t="s">
        <v>105</v>
      </c>
      <c r="B10">
        <v>4.0501653803748896</v>
      </c>
      <c r="C10">
        <v>5.0953693495038097</v>
      </c>
      <c r="D10">
        <v>6.7938257993385012</v>
      </c>
      <c r="E10">
        <v>5.4437706725468011</v>
      </c>
      <c r="F10">
        <v>11.061742006615198</v>
      </c>
      <c r="G10">
        <v>6.5325248070561983</v>
      </c>
      <c r="H10">
        <v>17.42006615215</v>
      </c>
      <c r="I10">
        <v>1.6025358324146026</v>
      </c>
    </row>
    <row r="11" spans="1:9" ht="15">
      <c r="A11" t="s">
        <v>106</v>
      </c>
      <c r="B11">
        <v>5.0953693495038896</v>
      </c>
      <c r="C11">
        <v>8.3616317530319115</v>
      </c>
      <c r="D11">
        <v>5.9663726571112985</v>
      </c>
      <c r="E11">
        <v>5.5308710033076025</v>
      </c>
      <c r="F11">
        <v>12.890848952591</v>
      </c>
      <c r="G11">
        <v>3.0049614112459011</v>
      </c>
      <c r="H11">
        <v>16.026460859977895</v>
      </c>
      <c r="I11">
        <v>2.1234840132305024</v>
      </c>
    </row>
    <row r="12" spans="1:9" ht="15">
      <c r="A12" t="s">
        <v>107</v>
      </c>
      <c r="B12">
        <v>4.3114663726571196</v>
      </c>
      <c r="C12">
        <v>7.0115766262402799</v>
      </c>
      <c r="D12">
        <v>6.8373759647187988</v>
      </c>
      <c r="E12">
        <v>5.6179713340684003</v>
      </c>
      <c r="F12">
        <v>17.768467475193003</v>
      </c>
      <c r="G12">
        <v>3.9195148842336991</v>
      </c>
      <c r="H12">
        <v>22.123484013230403</v>
      </c>
      <c r="I12">
        <v>2.4101433296582968</v>
      </c>
    </row>
    <row r="13" spans="1:9" ht="15">
      <c r="A13" t="s">
        <v>108</v>
      </c>
      <c r="B13">
        <v>1.2629547960308201</v>
      </c>
      <c r="C13">
        <v>3.2662624035282</v>
      </c>
      <c r="D13">
        <v>10.321389195148779</v>
      </c>
      <c r="E13">
        <v>5.4873208379272</v>
      </c>
      <c r="F13">
        <v>20.991179713340703</v>
      </c>
      <c r="G13">
        <v>5.4002205071664946</v>
      </c>
      <c r="H13">
        <v>30.136714443219397</v>
      </c>
      <c r="I13">
        <v>2.1339581036384061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A6CE8-E27C-49B7-8838-3339EC92B297}">
  <sheetPr>
    <tabColor rgb="FFFF0000"/>
  </sheetPr>
  <dimension ref="A1:L58"/>
  <sheetViews>
    <sheetView workbookViewId="0">
      <selection activeCell="N22" sqref="N22"/>
    </sheetView>
  </sheetViews>
  <sheetFormatPr defaultRowHeight="14.25"/>
  <cols>
    <col min="2" max="2" width="11.7109375" bestFit="1" customWidth="1"/>
    <col min="4" max="4" width="16.140625" customWidth="1"/>
    <col min="10" max="10" width="10.5703125" customWidth="1"/>
  </cols>
  <sheetData>
    <row r="1" spans="1:12" s="12" customFormat="1" ht="28.5">
      <c r="A1" s="12" t="s">
        <v>1</v>
      </c>
      <c r="B1" s="12" t="s">
        <v>109</v>
      </c>
      <c r="C1" s="12" t="s">
        <v>1</v>
      </c>
      <c r="D1" s="12" t="s">
        <v>110</v>
      </c>
      <c r="E1" s="12" t="s">
        <v>1</v>
      </c>
      <c r="F1" s="12" t="s">
        <v>111</v>
      </c>
      <c r="G1" s="12" t="s">
        <v>1</v>
      </c>
      <c r="H1" s="12" t="s">
        <v>112</v>
      </c>
      <c r="I1" s="12" t="s">
        <v>1</v>
      </c>
      <c r="J1" s="12" t="s">
        <v>113</v>
      </c>
      <c r="K1" s="12" t="s">
        <v>1</v>
      </c>
      <c r="L1" s="12" t="s">
        <v>114</v>
      </c>
    </row>
    <row r="2" spans="1:12">
      <c r="A2">
        <v>2015.30550223928</v>
      </c>
      <c r="B2">
        <v>159.30056913277701</v>
      </c>
      <c r="C2">
        <v>2021.3581922313299</v>
      </c>
      <c r="D2">
        <v>166.20800965325799</v>
      </c>
      <c r="E2">
        <v>2021.58976066434</v>
      </c>
      <c r="F2">
        <v>163.86466404337</v>
      </c>
      <c r="G2">
        <v>2021.08566728034</v>
      </c>
      <c r="H2">
        <v>164.91967431514701</v>
      </c>
      <c r="I2">
        <v>2015.4202083904499</v>
      </c>
      <c r="J2">
        <v>152.90380705560599</v>
      </c>
      <c r="K2">
        <v>2015.82167991956</v>
      </c>
      <c r="L2">
        <v>151.70282836681201</v>
      </c>
    </row>
    <row r="3" spans="1:12">
      <c r="A3">
        <v>2015.6079093651001</v>
      </c>
      <c r="B3">
        <v>155.621002117194</v>
      </c>
      <c r="C3">
        <v>2022.0997933722399</v>
      </c>
      <c r="D3">
        <v>168.81254588393401</v>
      </c>
      <c r="E3">
        <v>2022.3517372399999</v>
      </c>
      <c r="F3">
        <v>163.01601686036</v>
      </c>
      <c r="G3">
        <v>2021.65737984253</v>
      </c>
      <c r="H3">
        <v>162.43745110069099</v>
      </c>
      <c r="I3">
        <v>2016.3345802812401</v>
      </c>
      <c r="J3">
        <v>152.51853489832499</v>
      </c>
      <c r="K3">
        <v>2016.67378275686</v>
      </c>
      <c r="L3">
        <v>151.39066617241301</v>
      </c>
    </row>
    <row r="4" spans="1:12">
      <c r="A4">
        <v>2016.14459219388</v>
      </c>
      <c r="B4">
        <v>152.81724106892401</v>
      </c>
      <c r="C4">
        <v>2022.9416545888901</v>
      </c>
      <c r="D4">
        <v>172.300151090318</v>
      </c>
      <c r="E4">
        <v>2023.1628735947299</v>
      </c>
      <c r="F4">
        <v>161.73399902060601</v>
      </c>
      <c r="G4">
        <v>2022.96646460887</v>
      </c>
      <c r="H4">
        <v>158.00768108122401</v>
      </c>
      <c r="I4">
        <v>2017.1502544617399</v>
      </c>
      <c r="J4">
        <v>151.994290150441</v>
      </c>
      <c r="K4">
        <v>2017.48491911159</v>
      </c>
      <c r="L4">
        <v>150.486472230017</v>
      </c>
    </row>
    <row r="5" spans="1:12">
      <c r="A5">
        <v>2016.8999177405999</v>
      </c>
      <c r="B5">
        <v>156.29699473127101</v>
      </c>
      <c r="C5">
        <v>2023.7527909436301</v>
      </c>
      <c r="D5">
        <v>175.31951300510499</v>
      </c>
      <c r="E5">
        <v>2023.97400994946</v>
      </c>
      <c r="F5">
        <v>160.56177615957199</v>
      </c>
      <c r="G5">
        <v>2023.6790512750199</v>
      </c>
      <c r="H5">
        <v>155.90625377759301</v>
      </c>
      <c r="I5">
        <v>2018.0010967918799</v>
      </c>
      <c r="J5">
        <v>151.39066617241301</v>
      </c>
      <c r="K5">
        <v>2018.29605546633</v>
      </c>
      <c r="L5">
        <v>149.21091291842299</v>
      </c>
    </row>
    <row r="6" spans="1:12">
      <c r="A6">
        <v>2017.55865878021</v>
      </c>
      <c r="B6">
        <v>160.060343209374</v>
      </c>
      <c r="C6">
        <v>2024.5639272983601</v>
      </c>
      <c r="D6">
        <v>178.35502124029099</v>
      </c>
      <c r="E6">
        <v>2024.7851463042</v>
      </c>
      <c r="F6">
        <v>159.350802129577</v>
      </c>
      <c r="G6">
        <v>2025.0063653100301</v>
      </c>
      <c r="H6">
        <v>150.92242288081499</v>
      </c>
      <c r="I6">
        <v>2018.81223314661</v>
      </c>
      <c r="J6">
        <v>151.514401022171</v>
      </c>
      <c r="K6">
        <v>2019.10719182106</v>
      </c>
      <c r="L6">
        <v>147.93535360682901</v>
      </c>
    </row>
    <row r="7" spans="1:12">
      <c r="A7">
        <v>2018.2223157977201</v>
      </c>
      <c r="B7">
        <v>164.37230777395399</v>
      </c>
      <c r="C7">
        <v>2025.3750636530999</v>
      </c>
      <c r="D7">
        <v>180.14726280468301</v>
      </c>
      <c r="E7">
        <v>2025.59628265893</v>
      </c>
      <c r="F7">
        <v>158.09138913838299</v>
      </c>
      <c r="G7">
        <v>2025.5225429903201</v>
      </c>
      <c r="H7">
        <v>149.334701374822</v>
      </c>
      <c r="I7">
        <v>2019.6003258549099</v>
      </c>
      <c r="J7">
        <v>150.82958153851499</v>
      </c>
      <c r="K7">
        <v>2019.9353450224</v>
      </c>
      <c r="L7">
        <v>146.56733246046599</v>
      </c>
    </row>
    <row r="8" spans="1:12">
      <c r="A8">
        <v>2019.0795394453301</v>
      </c>
      <c r="B8">
        <v>165.51566908727401</v>
      </c>
      <c r="C8">
        <v>2026.1862000078299</v>
      </c>
      <c r="D8">
        <v>180.53477449428101</v>
      </c>
      <c r="E8">
        <v>2026.4074190136701</v>
      </c>
      <c r="F8">
        <v>156.79968350638899</v>
      </c>
      <c r="G8">
        <v>2026.92359669395</v>
      </c>
      <c r="H8">
        <v>144.076383031246</v>
      </c>
      <c r="I8">
        <v>2019.9526763680501</v>
      </c>
      <c r="J8">
        <v>149.96435426377801</v>
      </c>
      <c r="K8">
        <v>2020.36385955533</v>
      </c>
      <c r="L8">
        <v>143.00936452842501</v>
      </c>
    </row>
    <row r="9" spans="1:12">
      <c r="A9">
        <v>2019.7421723007801</v>
      </c>
      <c r="B9">
        <v>161.343078663368</v>
      </c>
      <c r="C9">
        <v>2026.99733636256</v>
      </c>
      <c r="D9">
        <v>180.88999354308001</v>
      </c>
      <c r="E9">
        <v>2027.2185553684001</v>
      </c>
      <c r="F9">
        <v>155.49183155399399</v>
      </c>
      <c r="G9">
        <v>2027.40290453993</v>
      </c>
      <c r="H9">
        <v>142.615141035053</v>
      </c>
      <c r="I9">
        <v>2020.30267049238</v>
      </c>
      <c r="J9">
        <v>147.58820771823</v>
      </c>
      <c r="K9">
        <v>2020.6426047560799</v>
      </c>
      <c r="L9">
        <v>138.42517089127199</v>
      </c>
    </row>
    <row r="10" spans="1:12">
      <c r="A10">
        <v>2020.5574053037701</v>
      </c>
      <c r="B10">
        <v>162.05154332180501</v>
      </c>
      <c r="C10">
        <v>2027.8084727173</v>
      </c>
      <c r="D10">
        <v>181.24521259187799</v>
      </c>
      <c r="E10">
        <v>2028.0296917231301</v>
      </c>
      <c r="F10">
        <v>154.18397960159999</v>
      </c>
      <c r="G10">
        <v>2028.7670884092599</v>
      </c>
      <c r="H10">
        <v>137.424099026476</v>
      </c>
      <c r="I10">
        <v>2020.51983161306</v>
      </c>
      <c r="J10">
        <v>143.92501127749699</v>
      </c>
      <c r="K10">
        <v>2021.06353313878</v>
      </c>
      <c r="L10">
        <v>133.05752850332101</v>
      </c>
    </row>
    <row r="11" spans="1:12">
      <c r="A11">
        <v>2021.1350327079001</v>
      </c>
      <c r="B11">
        <v>164.934737934552</v>
      </c>
      <c r="C11">
        <v>2028.61960907203</v>
      </c>
      <c r="D11">
        <v>181.60043164067599</v>
      </c>
      <c r="E11">
        <v>2028.8408280778699</v>
      </c>
      <c r="F11">
        <v>152.89227396960601</v>
      </c>
      <c r="G11">
        <v>2029.2832660895399</v>
      </c>
      <c r="H11">
        <v>135.83637752048301</v>
      </c>
      <c r="I11">
        <v>2020.8032939663301</v>
      </c>
      <c r="J11">
        <v>139.74378705726599</v>
      </c>
      <c r="K11">
        <v>2021.42828114245</v>
      </c>
      <c r="L11">
        <v>127.42997978444301</v>
      </c>
    </row>
    <row r="12" spans="1:12">
      <c r="C12">
        <v>2029.43074542676</v>
      </c>
      <c r="D12">
        <v>181.923358048675</v>
      </c>
      <c r="E12">
        <v>2029.6519644325999</v>
      </c>
      <c r="F12">
        <v>151.56827569681201</v>
      </c>
      <c r="G12">
        <v>2030.6105801245601</v>
      </c>
      <c r="H12">
        <v>130.33586437090801</v>
      </c>
      <c r="I12">
        <v>2021.0693329154999</v>
      </c>
      <c r="J12">
        <v>135.55220228144501</v>
      </c>
      <c r="K12">
        <v>2021.7080688025901</v>
      </c>
      <c r="L12">
        <v>123.224279651993</v>
      </c>
    </row>
    <row r="13" spans="1:12">
      <c r="C13">
        <v>2030.2418817815001</v>
      </c>
      <c r="D13">
        <v>181.40667579587699</v>
      </c>
      <c r="E13">
        <v>2030.4631007873299</v>
      </c>
      <c r="F13">
        <v>149.80832677321999</v>
      </c>
      <c r="G13">
        <v>2031.0898879705401</v>
      </c>
      <c r="H13">
        <v>128.672793369716</v>
      </c>
      <c r="I13">
        <v>2021.36275815508</v>
      </c>
      <c r="J13">
        <v>131.80707909440699</v>
      </c>
      <c r="K13">
        <v>2022.0425367407399</v>
      </c>
      <c r="L13">
        <v>118.99145965791899</v>
      </c>
    </row>
    <row r="14" spans="1:12">
      <c r="C14">
        <v>2031.0530181362301</v>
      </c>
      <c r="D14">
        <v>179.14619093988699</v>
      </c>
      <c r="E14">
        <v>2031.27423714207</v>
      </c>
      <c r="F14">
        <v>147.87076832522899</v>
      </c>
      <c r="G14">
        <v>2032.3065925026399</v>
      </c>
      <c r="H14">
        <v>122.79553274414199</v>
      </c>
      <c r="I14">
        <v>2021.63306925457</v>
      </c>
      <c r="J14">
        <v>128.492282653882</v>
      </c>
      <c r="K14">
        <v>2022.43682147301</v>
      </c>
      <c r="L14">
        <v>113.524067165575</v>
      </c>
    </row>
    <row r="15" spans="1:12">
      <c r="C15">
        <v>2031.8641544909699</v>
      </c>
      <c r="D15">
        <v>176.804974481898</v>
      </c>
      <c r="E15">
        <v>2032.0853734968</v>
      </c>
      <c r="F15">
        <v>146.01394147923699</v>
      </c>
      <c r="G15">
        <v>2032.7859003486201</v>
      </c>
      <c r="H15">
        <v>121.12438858275</v>
      </c>
      <c r="I15">
        <v>2021.8536109261299</v>
      </c>
      <c r="J15">
        <v>124.84660146848201</v>
      </c>
      <c r="K15">
        <v>2022.65200850013</v>
      </c>
      <c r="L15">
        <v>109.760339179941</v>
      </c>
    </row>
    <row r="16" spans="1:12">
      <c r="C16">
        <v>2032.6752908456999</v>
      </c>
      <c r="D16">
        <v>174.46375802390901</v>
      </c>
      <c r="E16">
        <v>2032.89650985154</v>
      </c>
      <c r="F16">
        <v>144.12482199244599</v>
      </c>
      <c r="G16">
        <v>2034.0763445493301</v>
      </c>
      <c r="H16">
        <v>114.980713670578</v>
      </c>
      <c r="I16">
        <v>2022.1207499314501</v>
      </c>
      <c r="J16">
        <v>121.56841239374801</v>
      </c>
      <c r="K16">
        <v>2023.01694094144</v>
      </c>
      <c r="L16">
        <v>105.54176472149101</v>
      </c>
    </row>
    <row r="17" spans="3:12">
      <c r="C17">
        <v>2033.4864272004299</v>
      </c>
      <c r="D17">
        <v>172.12254156591899</v>
      </c>
      <c r="E17">
        <v>2033.7076462062701</v>
      </c>
      <c r="F17">
        <v>142.171117224055</v>
      </c>
      <c r="G17">
        <v>2034.5187825610001</v>
      </c>
      <c r="H17">
        <v>113.39837427138499</v>
      </c>
      <c r="I17">
        <v>2022.45882623682</v>
      </c>
      <c r="J17">
        <v>116.677616895312</v>
      </c>
      <c r="K17">
        <v>2023.32599690548</v>
      </c>
      <c r="L17">
        <v>100.34407422804399</v>
      </c>
    </row>
    <row r="18" spans="3:12">
      <c r="C18">
        <v>2034.29756355517</v>
      </c>
      <c r="D18">
        <v>169.76517878753</v>
      </c>
      <c r="E18">
        <v>2034.5187825610001</v>
      </c>
      <c r="F18">
        <v>140.21741245566301</v>
      </c>
      <c r="G18">
        <v>2035.6986172587999</v>
      </c>
      <c r="H18">
        <v>106.907553470614</v>
      </c>
      <c r="I18">
        <v>2022.92058611215</v>
      </c>
      <c r="J18">
        <v>109.39705508852001</v>
      </c>
      <c r="K18">
        <v>2023.7405009988599</v>
      </c>
      <c r="L18">
        <v>94.9861869086685</v>
      </c>
    </row>
    <row r="19" spans="3:12">
      <c r="C19">
        <v>2035.1086999099</v>
      </c>
      <c r="D19">
        <v>167.133328562342</v>
      </c>
      <c r="E19">
        <v>2035.3299189157401</v>
      </c>
      <c r="F19">
        <v>138.32829296887201</v>
      </c>
      <c r="G19">
        <v>2036.1410552704699</v>
      </c>
      <c r="H19">
        <v>105.228336149022</v>
      </c>
      <c r="I19">
        <v>2023.2273958047699</v>
      </c>
      <c r="J19">
        <v>105.11419018725</v>
      </c>
      <c r="K19">
        <v>2024.0217742567199</v>
      </c>
      <c r="L19">
        <v>91.049175784486295</v>
      </c>
    </row>
    <row r="20" spans="3:12">
      <c r="C20">
        <v>2035.91983626464</v>
      </c>
      <c r="D20">
        <v>164.17855192915499</v>
      </c>
      <c r="E20">
        <v>2036.1410552704699</v>
      </c>
      <c r="F20">
        <v>136.66522196768</v>
      </c>
      <c r="G20">
        <v>2037.17341063104</v>
      </c>
      <c r="H20">
        <v>98.463027901452705</v>
      </c>
      <c r="I20">
        <v>2023.6874241059099</v>
      </c>
      <c r="J20">
        <v>99.186680801972102</v>
      </c>
      <c r="K20">
        <v>2024.2491382349399</v>
      </c>
      <c r="L20">
        <v>87.112164660304103</v>
      </c>
    </row>
    <row r="21" spans="3:12">
      <c r="C21">
        <v>2036.73097261937</v>
      </c>
      <c r="D21">
        <v>161.01387313076901</v>
      </c>
      <c r="E21">
        <v>2036.9521916252099</v>
      </c>
      <c r="F21">
        <v>134.986004646087</v>
      </c>
      <c r="G21">
        <v>2037.61584864272</v>
      </c>
      <c r="H21">
        <v>96.525469453461497</v>
      </c>
      <c r="I21">
        <v>2024.0815888432301</v>
      </c>
      <c r="J21">
        <v>94.048283981577995</v>
      </c>
      <c r="K21">
        <v>2024.5016225890899</v>
      </c>
      <c r="L21">
        <v>83.327715563490401</v>
      </c>
    </row>
    <row r="22" spans="3:12">
      <c r="C22">
        <v>2037.5421089741001</v>
      </c>
      <c r="D22">
        <v>157.510121603985</v>
      </c>
      <c r="E22">
        <v>2037.76332797994</v>
      </c>
      <c r="F22">
        <v>133.32293364489499</v>
      </c>
      <c r="G22">
        <v>2038.7219436718999</v>
      </c>
      <c r="H22">
        <v>89.614844322292697</v>
      </c>
      <c r="I22">
        <v>2024.4699349269399</v>
      </c>
      <c r="J22">
        <v>88.166102054715793</v>
      </c>
      <c r="K22">
        <v>2024.74409005444</v>
      </c>
      <c r="L22">
        <v>79.139470453940106</v>
      </c>
    </row>
    <row r="23" spans="3:12">
      <c r="C23">
        <v>2038.3532453288401</v>
      </c>
      <c r="D23">
        <v>153.84490687320201</v>
      </c>
      <c r="E23">
        <v>2038.57446433467</v>
      </c>
      <c r="F23">
        <v>131.65986264370201</v>
      </c>
      <c r="G23">
        <v>2039.1643816835699</v>
      </c>
      <c r="H23">
        <v>87.644993233501694</v>
      </c>
      <c r="I23">
        <v>2025.0292804261801</v>
      </c>
      <c r="J23">
        <v>81.440193884500701</v>
      </c>
      <c r="K23">
        <v>2025.06977359081</v>
      </c>
      <c r="L23">
        <v>74.948872397699105</v>
      </c>
    </row>
    <row r="24" spans="3:12">
      <c r="C24">
        <v>2039.1643816835699</v>
      </c>
      <c r="D24">
        <v>150.292716385218</v>
      </c>
      <c r="E24">
        <v>2039.38560068941</v>
      </c>
      <c r="F24">
        <v>129.99679164251</v>
      </c>
      <c r="G24">
        <v>2040.19673704414</v>
      </c>
      <c r="H24">
        <v>81.315635636730306</v>
      </c>
      <c r="I24">
        <v>2025.8912413333801</v>
      </c>
      <c r="J24">
        <v>75.567545574356302</v>
      </c>
      <c r="K24">
        <v>2025.63315249324</v>
      </c>
      <c r="L24">
        <v>70.461271747879394</v>
      </c>
    </row>
    <row r="25" spans="3:12">
      <c r="C25">
        <v>2039.9755180382999</v>
      </c>
      <c r="D25">
        <v>146.61135533403501</v>
      </c>
      <c r="E25">
        <v>2040.19673704414</v>
      </c>
      <c r="F25">
        <v>128.39830592291699</v>
      </c>
      <c r="G25">
        <v>2040.71291472443</v>
      </c>
      <c r="H25">
        <v>79.6525646355378</v>
      </c>
      <c r="I25">
        <v>2026.31693368326</v>
      </c>
      <c r="J25">
        <v>72.039606730957104</v>
      </c>
      <c r="K25">
        <v>2026.0359297269699</v>
      </c>
      <c r="L25">
        <v>66.943334525315294</v>
      </c>
    </row>
    <row r="26" spans="3:12">
      <c r="C26">
        <v>2040.78665439304</v>
      </c>
      <c r="D26">
        <v>143.15604276844999</v>
      </c>
      <c r="E26">
        <v>2041.0078733988701</v>
      </c>
      <c r="F26">
        <v>127.074307650123</v>
      </c>
      <c r="G26">
        <v>2042.04022875945</v>
      </c>
      <c r="H26">
        <v>74.178962019962597</v>
      </c>
      <c r="I26">
        <v>2026.7851197237801</v>
      </c>
      <c r="J26">
        <v>68.461473079108401</v>
      </c>
      <c r="K26">
        <v>2026.46990451281</v>
      </c>
      <c r="L26">
        <v>63.312488390811701</v>
      </c>
    </row>
    <row r="27" spans="3:12">
      <c r="C27">
        <v>2041.59779074777</v>
      </c>
      <c r="D27">
        <v>139.45853539686701</v>
      </c>
      <c r="E27">
        <v>2041.8190097536101</v>
      </c>
      <c r="F27">
        <v>125.766455697729</v>
      </c>
      <c r="G27">
        <v>2042.5195366054199</v>
      </c>
      <c r="H27">
        <v>72.725793183969103</v>
      </c>
      <c r="I27">
        <v>2027.50793215558</v>
      </c>
      <c r="J27">
        <v>63.609580686170403</v>
      </c>
      <c r="K27">
        <v>2026.96195239501</v>
      </c>
      <c r="L27">
        <v>59.3750977590988</v>
      </c>
    </row>
    <row r="28" spans="3:12">
      <c r="C28">
        <v>2042.40892710251</v>
      </c>
      <c r="D28">
        <v>136.03551547208201</v>
      </c>
      <c r="E28">
        <v>2042.6301461083399</v>
      </c>
      <c r="F28">
        <v>124.47475006573499</v>
      </c>
      <c r="G28">
        <v>2043.8099808061399</v>
      </c>
      <c r="H28">
        <v>67.219897927594005</v>
      </c>
      <c r="I28">
        <v>2028.1656457060899</v>
      </c>
      <c r="J28">
        <v>58.742458705309303</v>
      </c>
      <c r="K28">
        <v>2027.39025489865</v>
      </c>
      <c r="L28">
        <v>55.647824182563198</v>
      </c>
    </row>
    <row r="29" spans="3:12">
      <c r="C29">
        <v>2043.22006345724</v>
      </c>
      <c r="D29">
        <v>132.56405658609799</v>
      </c>
      <c r="E29">
        <v>2043.4412824630799</v>
      </c>
      <c r="F29">
        <v>123.118459152141</v>
      </c>
      <c r="G29">
        <v>2044.3261584864199</v>
      </c>
      <c r="H29">
        <v>65.503005858401806</v>
      </c>
      <c r="I29">
        <v>2028.87058662236</v>
      </c>
      <c r="J29">
        <v>53.5079783053502</v>
      </c>
      <c r="K29">
        <v>2027.8440374747199</v>
      </c>
      <c r="L29">
        <v>51.651740000449003</v>
      </c>
    </row>
    <row r="30" spans="3:12">
      <c r="C30">
        <v>2044.0311998119701</v>
      </c>
      <c r="D30">
        <v>129.15718298171399</v>
      </c>
      <c r="E30">
        <v>2044.3034693576201</v>
      </c>
      <c r="F30">
        <v>122.347161846883</v>
      </c>
      <c r="G30">
        <v>2045.6534725214401</v>
      </c>
      <c r="H30">
        <v>60.632199204423799</v>
      </c>
      <c r="I30">
        <v>2029.60871949547</v>
      </c>
      <c r="J30">
        <v>48.294616383279603</v>
      </c>
      <c r="K30">
        <v>2028.34887059061</v>
      </c>
      <c r="L30">
        <v>47.497336119570903</v>
      </c>
    </row>
    <row r="31" spans="3:12">
      <c r="C31">
        <v>2044.8423361667101</v>
      </c>
      <c r="D31">
        <v>125.782602018129</v>
      </c>
      <c r="E31">
        <v>2045.12090824813</v>
      </c>
      <c r="F31">
        <v>120.340437910867</v>
      </c>
      <c r="G31">
        <v>2046.20652003603</v>
      </c>
      <c r="H31">
        <v>59.183066948530403</v>
      </c>
      <c r="I31">
        <v>2030.0164763602099</v>
      </c>
      <c r="J31">
        <v>45.531751240524699</v>
      </c>
      <c r="K31">
        <v>2028.8408280778699</v>
      </c>
      <c r="L31">
        <v>42.430682879306097</v>
      </c>
    </row>
    <row r="32" spans="3:12">
      <c r="C32">
        <v>2045.6288926319</v>
      </c>
      <c r="D32">
        <v>122.634069540143</v>
      </c>
      <c r="E32">
        <v>2045.9791560578101</v>
      </c>
      <c r="F32">
        <v>118.96347270256</v>
      </c>
      <c r="G32">
        <v>2047.64444357397</v>
      </c>
      <c r="H32">
        <v>54.432012170851799</v>
      </c>
      <c r="I32">
        <v>2030.58822809354</v>
      </c>
      <c r="J32">
        <v>42.937161490811398</v>
      </c>
      <c r="K32">
        <v>2029.3201359238501</v>
      </c>
      <c r="L32">
        <v>38.447154974924103</v>
      </c>
    </row>
    <row r="33" spans="3:12">
      <c r="C33">
        <v>2046.54702379992</v>
      </c>
      <c r="D33">
        <v>118.758002860608</v>
      </c>
      <c r="E33">
        <v>2046.6907438599201</v>
      </c>
      <c r="F33">
        <v>118.489847304162</v>
      </c>
      <c r="G33">
        <v>2048.1606212542501</v>
      </c>
      <c r="H33">
        <v>53.070339150457997</v>
      </c>
      <c r="I33">
        <v>2031.3535586979499</v>
      </c>
      <c r="J33">
        <v>40.191021906086</v>
      </c>
      <c r="K33">
        <v>2029.7994437698301</v>
      </c>
      <c r="L33">
        <v>34.463627070542202</v>
      </c>
    </row>
    <row r="34" spans="3:12">
      <c r="C34">
        <v>2047.4232245681301</v>
      </c>
      <c r="D34">
        <v>116.70836995337</v>
      </c>
      <c r="E34">
        <v>2047.57070390536</v>
      </c>
      <c r="F34">
        <v>116.36929722497101</v>
      </c>
      <c r="G34">
        <v>2049.5985447921898</v>
      </c>
      <c r="H34">
        <v>48.499854055918703</v>
      </c>
      <c r="I34">
        <v>2032.0692300912599</v>
      </c>
      <c r="J34">
        <v>37.503418629540903</v>
      </c>
      <c r="K34">
        <v>2030.4631007873299</v>
      </c>
      <c r="L34">
        <v>31.358920319356201</v>
      </c>
    </row>
    <row r="35" spans="3:12">
      <c r="C35">
        <v>2048.2343609228701</v>
      </c>
      <c r="D35">
        <v>114.060373407782</v>
      </c>
      <c r="E35">
        <v>2048.38184026009</v>
      </c>
      <c r="F35">
        <v>114.593201980979</v>
      </c>
      <c r="I35">
        <v>2032.7350757961501</v>
      </c>
      <c r="J35">
        <v>34.851929075196999</v>
      </c>
      <c r="K35">
        <v>2031.3049620039901</v>
      </c>
      <c r="L35">
        <v>29.403870024265</v>
      </c>
    </row>
    <row r="36" spans="3:12">
      <c r="C36">
        <v>2048.8898246438598</v>
      </c>
      <c r="D36">
        <v>111.21969743875501</v>
      </c>
      <c r="E36">
        <v>2049.1929766148301</v>
      </c>
      <c r="F36">
        <v>113.462959552984</v>
      </c>
      <c r="I36">
        <v>2033.4777728269801</v>
      </c>
      <c r="J36">
        <v>31.615232434376701</v>
      </c>
      <c r="K36">
        <v>2032.0797012145999</v>
      </c>
      <c r="L36">
        <v>27.2440926666671</v>
      </c>
    </row>
    <row r="37" spans="3:12">
      <c r="C37">
        <v>2049.5985447921898</v>
      </c>
      <c r="D37">
        <v>109.189028543124</v>
      </c>
      <c r="E37">
        <v>2049.7828939637202</v>
      </c>
      <c r="F37">
        <v>112.687936173788</v>
      </c>
      <c r="I37">
        <v>2034.1414089628099</v>
      </c>
      <c r="J37">
        <v>29.184653862783399</v>
      </c>
      <c r="K37">
        <v>2032.89650985154</v>
      </c>
      <c r="L37">
        <v>24.593612071786801</v>
      </c>
    </row>
    <row r="38" spans="3:12">
      <c r="I38">
        <v>2034.85272701073</v>
      </c>
      <c r="J38">
        <v>26.584617872906001</v>
      </c>
      <c r="K38">
        <v>2033.7076462062701</v>
      </c>
      <c r="L38">
        <v>22.333127215796999</v>
      </c>
    </row>
    <row r="39" spans="3:12">
      <c r="I39">
        <v>2035.48085510595</v>
      </c>
      <c r="J39">
        <v>24.574742534001999</v>
      </c>
      <c r="K39">
        <v>2034.5187825610001</v>
      </c>
      <c r="L39">
        <v>20.195293589599199</v>
      </c>
    </row>
    <row r="40" spans="3:12">
      <c r="I40">
        <v>2036.1083718516099</v>
      </c>
      <c r="J40">
        <v>23.4283752282637</v>
      </c>
      <c r="K40">
        <v>2035.3299189157401</v>
      </c>
      <c r="L40">
        <v>18.358719077471601</v>
      </c>
    </row>
    <row r="41" spans="3:12">
      <c r="I41">
        <v>2036.77761075639</v>
      </c>
      <c r="J41">
        <v>22.167579185720399</v>
      </c>
      <c r="K41">
        <v>2036.1410552704699</v>
      </c>
      <c r="L41">
        <v>17.155561916877001</v>
      </c>
    </row>
    <row r="42" spans="3:12">
      <c r="I42">
        <v>2037.3879260306401</v>
      </c>
      <c r="J42">
        <v>20.8799583798036</v>
      </c>
      <c r="K42">
        <v>2036.9521916252099</v>
      </c>
      <c r="L42">
        <v>15.9405673887749</v>
      </c>
    </row>
    <row r="43" spans="3:12">
      <c r="I43">
        <v>2038.1074464334599</v>
      </c>
      <c r="J43">
        <v>19.763930288851299</v>
      </c>
      <c r="K43">
        <v>2037.76332797994</v>
      </c>
      <c r="L43">
        <v>14.7390174063445</v>
      </c>
    </row>
    <row r="44" spans="3:12">
      <c r="I44">
        <v>2038.8899182766299</v>
      </c>
      <c r="J44">
        <v>18.383163034203001</v>
      </c>
      <c r="K44">
        <v>2038.57446433467</v>
      </c>
      <c r="L44">
        <v>13.606073203621399</v>
      </c>
    </row>
    <row r="45" spans="3:12">
      <c r="I45">
        <v>2039.6914538368101</v>
      </c>
      <c r="J45">
        <v>16.803402020416399</v>
      </c>
      <c r="K45">
        <v>2039.38560068941</v>
      </c>
      <c r="L45">
        <v>12.385675126062701</v>
      </c>
    </row>
    <row r="46" spans="3:12">
      <c r="I46">
        <v>2040.4731034173999</v>
      </c>
      <c r="J46">
        <v>15.755743942056901</v>
      </c>
      <c r="K46">
        <v>2040.19673704414</v>
      </c>
      <c r="L46">
        <v>11.4168959020671</v>
      </c>
    </row>
    <row r="47" spans="3:12">
      <c r="I47">
        <v>2041.3827167143199</v>
      </c>
      <c r="J47">
        <v>14.683743598361801</v>
      </c>
      <c r="K47">
        <v>2041.0078733988701</v>
      </c>
      <c r="L47">
        <v>10.561140920871001</v>
      </c>
    </row>
    <row r="48" spans="3:12">
      <c r="I48">
        <v>2042.1877080966699</v>
      </c>
      <c r="J48">
        <v>14.1711944176188</v>
      </c>
      <c r="K48">
        <v>2041.8190097536101</v>
      </c>
      <c r="L48">
        <v>9.9771716117453408</v>
      </c>
    </row>
    <row r="49" spans="9:12">
      <c r="I49">
        <v>2042.9988444513999</v>
      </c>
      <c r="J49">
        <v>13.497069458929399</v>
      </c>
      <c r="K49">
        <v>2042.6301461083399</v>
      </c>
      <c r="L49">
        <v>9.3057484277842306</v>
      </c>
    </row>
    <row r="50" spans="9:12">
      <c r="I50">
        <v>2043.8099808061399</v>
      </c>
      <c r="J50">
        <v>12.5834514689694</v>
      </c>
      <c r="K50">
        <v>2043.4412824630799</v>
      </c>
      <c r="L50">
        <v>8.9639739246575196</v>
      </c>
    </row>
    <row r="51" spans="9:12">
      <c r="I51">
        <v>2044.6421856376201</v>
      </c>
      <c r="J51">
        <v>11.1967793742474</v>
      </c>
      <c r="K51">
        <v>2044.2524188178099</v>
      </c>
      <c r="L51">
        <v>8.2535358270607109</v>
      </c>
    </row>
    <row r="52" spans="9:12">
      <c r="I52">
        <v>2045.4076736260699</v>
      </c>
      <c r="J52">
        <v>10.8383086997415</v>
      </c>
      <c r="K52">
        <v>2045.06355517254</v>
      </c>
      <c r="L52">
        <v>7.68841461306328</v>
      </c>
    </row>
    <row r="53" spans="9:12">
      <c r="I53">
        <v>2046.24338987034</v>
      </c>
      <c r="J53">
        <v>10.0672950973242</v>
      </c>
      <c r="K53">
        <v>2045.87469152728</v>
      </c>
      <c r="L53">
        <v>7.1071470786658804</v>
      </c>
    </row>
    <row r="54" spans="9:12">
      <c r="I54">
        <v>2047.02292350995</v>
      </c>
      <c r="J54">
        <v>9.5139367120757399</v>
      </c>
      <c r="K54">
        <v>2046.68582788201</v>
      </c>
      <c r="L54">
        <v>6.2958105605620096</v>
      </c>
    </row>
    <row r="55" spans="9:12">
      <c r="I55">
        <v>2047.87906979228</v>
      </c>
      <c r="J55">
        <v>8.9451901574990398</v>
      </c>
      <c r="K55">
        <v>2047.49696423675</v>
      </c>
      <c r="L55">
        <v>5.8921525505638197</v>
      </c>
    </row>
    <row r="56" spans="9:12">
      <c r="I56">
        <v>2048.8095303380401</v>
      </c>
      <c r="J56">
        <v>8.25834755919578</v>
      </c>
      <c r="K56">
        <v>2048.3388254534002</v>
      </c>
      <c r="L56">
        <v>5.4952221740656402</v>
      </c>
    </row>
    <row r="57" spans="9:12">
      <c r="I57">
        <v>2049.6354146264998</v>
      </c>
      <c r="J57">
        <v>7.6022794616071101</v>
      </c>
      <c r="K57">
        <v>2049.1192369462101</v>
      </c>
      <c r="L57">
        <v>5.1534423102747198</v>
      </c>
    </row>
    <row r="58" spans="9:12">
      <c r="K58">
        <v>2049.72926511382</v>
      </c>
      <c r="L58">
        <v>4.8854133916359999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56DB5-EC3C-4B2D-8642-68B0D00FC644}">
  <sheetPr>
    <tabColor rgb="FFFF0000"/>
  </sheetPr>
  <dimension ref="A1:L51"/>
  <sheetViews>
    <sheetView workbookViewId="0">
      <selection activeCell="K1" sqref="K1"/>
    </sheetView>
  </sheetViews>
  <sheetFormatPr defaultRowHeight="14.25"/>
  <cols>
    <col min="2" max="2" width="11.7109375" bestFit="1" customWidth="1"/>
    <col min="4" max="4" width="16.140625" customWidth="1"/>
    <col min="10" max="10" width="10.5703125" customWidth="1"/>
  </cols>
  <sheetData>
    <row r="1" spans="1:12" s="12" customFormat="1" ht="28.5">
      <c r="A1" s="12" t="s">
        <v>1</v>
      </c>
      <c r="B1" s="12" t="s">
        <v>109</v>
      </c>
      <c r="C1" s="12" t="s">
        <v>1</v>
      </c>
      <c r="D1" s="12" t="s">
        <v>110</v>
      </c>
      <c r="E1" s="12" t="s">
        <v>1</v>
      </c>
      <c r="F1" s="12" t="s">
        <v>111</v>
      </c>
      <c r="G1" s="12" t="s">
        <v>1</v>
      </c>
      <c r="H1" s="12" t="s">
        <v>112</v>
      </c>
      <c r="I1" s="12" t="s">
        <v>1</v>
      </c>
      <c r="J1" s="12" t="s">
        <v>113</v>
      </c>
      <c r="K1" s="12" t="s">
        <v>1</v>
      </c>
      <c r="L1" s="12" t="s">
        <v>114</v>
      </c>
    </row>
    <row r="2" spans="1:12">
      <c r="A2">
        <v>2015.3380026313901</v>
      </c>
      <c r="B2">
        <v>183.98606656175801</v>
      </c>
      <c r="C2">
        <v>2021.39556230363</v>
      </c>
      <c r="D2">
        <v>178.232572949927</v>
      </c>
      <c r="E2">
        <v>2021.4770421611199</v>
      </c>
      <c r="F2">
        <v>177.889094881343</v>
      </c>
      <c r="G2">
        <v>2021.20343914611</v>
      </c>
      <c r="H2">
        <v>176.86444654761101</v>
      </c>
      <c r="I2">
        <v>2015.38325983082</v>
      </c>
      <c r="J2">
        <v>183.48430097547799</v>
      </c>
      <c r="K2">
        <v>2015.8228738008499</v>
      </c>
      <c r="L2">
        <v>183.06032274950601</v>
      </c>
    </row>
    <row r="3" spans="1:12">
      <c r="A3">
        <v>2016.1092123931901</v>
      </c>
      <c r="B3">
        <v>185.58587100473</v>
      </c>
      <c r="C3">
        <v>2021.8316005578299</v>
      </c>
      <c r="D3">
        <v>182.34842547011999</v>
      </c>
      <c r="E3">
        <v>2022.52687701235</v>
      </c>
      <c r="F3">
        <v>181.67246770171101</v>
      </c>
      <c r="G3">
        <v>2021.8268519533599</v>
      </c>
      <c r="H3">
        <v>177.46556434092801</v>
      </c>
      <c r="I3">
        <v>2016.33228051731</v>
      </c>
      <c r="J3">
        <v>183.63750545782599</v>
      </c>
      <c r="K3">
        <v>2016.6319677649101</v>
      </c>
      <c r="L3">
        <v>183.173346992305</v>
      </c>
    </row>
    <row r="4" spans="1:12">
      <c r="A4">
        <v>2017.1472849757299</v>
      </c>
      <c r="B4">
        <v>185.54685609109401</v>
      </c>
      <c r="C4">
        <v>2022.47790479173</v>
      </c>
      <c r="D4">
        <v>186.91193250255299</v>
      </c>
      <c r="E4">
        <v>2023.3414034079699</v>
      </c>
      <c r="F4">
        <v>184.27797092622399</v>
      </c>
      <c r="G4">
        <v>2023.3945817270701</v>
      </c>
      <c r="H4">
        <v>179.37287596606299</v>
      </c>
      <c r="I4">
        <v>2017.0637240015601</v>
      </c>
      <c r="J4">
        <v>184.488375087099</v>
      </c>
      <c r="K4">
        <v>2017.4411572510901</v>
      </c>
      <c r="L4">
        <v>183.78690716750199</v>
      </c>
    </row>
    <row r="5" spans="1:12">
      <c r="A5">
        <v>2017.95683806226</v>
      </c>
      <c r="B5">
        <v>188.065682073483</v>
      </c>
      <c r="C5">
        <v>2023.03262558451</v>
      </c>
      <c r="D5">
        <v>191.71821040966699</v>
      </c>
      <c r="E5">
        <v>2024.1349785405801</v>
      </c>
      <c r="F5">
        <v>186.85768101676899</v>
      </c>
      <c r="G5">
        <v>2024.3756985730099</v>
      </c>
      <c r="H5">
        <v>181.09731010229601</v>
      </c>
      <c r="I5">
        <v>2017.9476113036201</v>
      </c>
      <c r="J5">
        <v>185.06013364419499</v>
      </c>
      <c r="K5">
        <v>2018.2503744695</v>
      </c>
      <c r="L5">
        <v>184.54578422629899</v>
      </c>
    </row>
    <row r="6" spans="1:12">
      <c r="A6">
        <v>2018.7940674399599</v>
      </c>
      <c r="B6">
        <v>187.37263232093201</v>
      </c>
      <c r="C6">
        <v>2023.5482694193799</v>
      </c>
      <c r="D6">
        <v>195.80322947084801</v>
      </c>
      <c r="E6">
        <v>2024.94444811268</v>
      </c>
      <c r="F6">
        <v>188.93889137713001</v>
      </c>
      <c r="G6">
        <v>2025.3108761360299</v>
      </c>
      <c r="H6">
        <v>181.95839404764101</v>
      </c>
      <c r="I6">
        <v>2018.8540843199801</v>
      </c>
      <c r="J6">
        <v>185.88454576814399</v>
      </c>
      <c r="K6">
        <v>2018.8387654892899</v>
      </c>
      <c r="L6">
        <v>184.41338439902</v>
      </c>
    </row>
    <row r="7" spans="1:12">
      <c r="A7">
        <v>2019.3351129306</v>
      </c>
      <c r="B7">
        <v>183.738468206303</v>
      </c>
      <c r="C7">
        <v>2024.06391567531</v>
      </c>
      <c r="D7">
        <v>199.90093492662999</v>
      </c>
      <c r="E7">
        <v>2025.75382443883</v>
      </c>
      <c r="F7">
        <v>190.53149300201599</v>
      </c>
      <c r="G7">
        <v>2026.23431330372</v>
      </c>
      <c r="H7">
        <v>181.22980532837499</v>
      </c>
      <c r="I7">
        <v>2019.7425529043501</v>
      </c>
      <c r="J7">
        <v>186.83470663975999</v>
      </c>
      <c r="K7">
        <v>2019.86869181468</v>
      </c>
      <c r="L7">
        <v>185.449978168695</v>
      </c>
    </row>
    <row r="8" spans="1:12">
      <c r="A8">
        <v>2019.6466486554</v>
      </c>
      <c r="B8">
        <v>178.18182737152799</v>
      </c>
      <c r="C8">
        <v>2024.5795546680399</v>
      </c>
      <c r="D8">
        <v>203.96058119861101</v>
      </c>
      <c r="E8">
        <v>2026.56317228589</v>
      </c>
      <c r="F8">
        <v>191.97486420320899</v>
      </c>
      <c r="G8">
        <v>2027.8141148971299</v>
      </c>
      <c r="H8">
        <v>180.31145994739501</v>
      </c>
      <c r="I8">
        <v>2020.3054686886801</v>
      </c>
      <c r="J8">
        <v>187.378968131119</v>
      </c>
      <c r="K8">
        <v>2020.67774263971</v>
      </c>
      <c r="L8">
        <v>185.33695392589499</v>
      </c>
    </row>
    <row r="9" spans="1:12">
      <c r="A9">
        <v>2020.0471456314001</v>
      </c>
      <c r="B9">
        <v>174.53506557834399</v>
      </c>
      <c r="C9">
        <v>2025.0889864467699</v>
      </c>
      <c r="D9">
        <v>207.612148444295</v>
      </c>
      <c r="E9">
        <v>2027.4055401646599</v>
      </c>
      <c r="F9">
        <v>193.00750095014499</v>
      </c>
      <c r="G9">
        <v>2028.5467885037499</v>
      </c>
      <c r="H9">
        <v>179.98181126656101</v>
      </c>
      <c r="I9">
        <v>2021.0460790331499</v>
      </c>
      <c r="J9">
        <v>188.35631584068199</v>
      </c>
      <c r="K9">
        <v>2021.4867749765899</v>
      </c>
      <c r="L9">
        <v>185.12705176069599</v>
      </c>
    </row>
    <row r="10" spans="1:12">
      <c r="A10">
        <v>2020.8230348724401</v>
      </c>
      <c r="B10">
        <v>175.84291753073799</v>
      </c>
      <c r="C10">
        <v>2025.90458387546</v>
      </c>
      <c r="D10">
        <v>209.685605088985</v>
      </c>
      <c r="E10">
        <v>2028.2100876775401</v>
      </c>
      <c r="F10">
        <v>194.49718011540801</v>
      </c>
      <c r="G10">
        <v>2029.9523883309901</v>
      </c>
      <c r="H10">
        <v>179.065687871465</v>
      </c>
      <c r="I10">
        <v>2021.82208860125</v>
      </c>
      <c r="J10">
        <v>188.542805841301</v>
      </c>
      <c r="K10">
        <v>2022.2956871404699</v>
      </c>
      <c r="L10">
        <v>184.2874430999</v>
      </c>
    </row>
    <row r="11" spans="1:12">
      <c r="A11">
        <v>2021.11179370643</v>
      </c>
      <c r="B11">
        <v>176.463199978771</v>
      </c>
      <c r="C11">
        <v>2026.71396440589</v>
      </c>
      <c r="D11">
        <v>211.30023712897801</v>
      </c>
      <c r="E11">
        <v>2028.9911348200801</v>
      </c>
      <c r="F11">
        <v>195.88050114704799</v>
      </c>
      <c r="G11">
        <v>2030.8567992600499</v>
      </c>
      <c r="H11">
        <v>176.056856276037</v>
      </c>
      <c r="I11">
        <v>2022.66436957052</v>
      </c>
      <c r="J11">
        <v>189.120036795598</v>
      </c>
      <c r="K11">
        <v>2023.1046142709599</v>
      </c>
      <c r="L11">
        <v>183.52625942390401</v>
      </c>
    </row>
    <row r="12" spans="1:12">
      <c r="C12">
        <v>2027.5233356922499</v>
      </c>
      <c r="D12">
        <v>212.866430207771</v>
      </c>
      <c r="E12">
        <v>2029.8004413978999</v>
      </c>
      <c r="F12">
        <v>197.10762149744201</v>
      </c>
      <c r="G12">
        <v>2031.87064142386</v>
      </c>
      <c r="H12">
        <v>171.98956823004801</v>
      </c>
      <c r="I12">
        <v>2023.2128406619399</v>
      </c>
      <c r="J12">
        <v>189.17381497828501</v>
      </c>
      <c r="K12">
        <v>2023.91351136553</v>
      </c>
      <c r="L12">
        <v>182.60768756762801</v>
      </c>
    </row>
    <row r="13" spans="1:12">
      <c r="C13">
        <v>2028.3327069786001</v>
      </c>
      <c r="D13">
        <v>214.432623286564</v>
      </c>
      <c r="E13">
        <v>2030.6095969891301</v>
      </c>
      <c r="F13">
        <v>197.54357214824</v>
      </c>
      <c r="G13">
        <v>2032.6180063171901</v>
      </c>
      <c r="H13">
        <v>169.46513705475999</v>
      </c>
      <c r="I13">
        <v>2023.7677447001099</v>
      </c>
      <c r="J13">
        <v>189.615696667891</v>
      </c>
      <c r="K13">
        <v>2024.72222642516</v>
      </c>
      <c r="L13">
        <v>180.735252611916</v>
      </c>
    </row>
    <row r="14" spans="1:12">
      <c r="C14">
        <v>2029.14208750903</v>
      </c>
      <c r="D14">
        <v>216.04725532655601</v>
      </c>
      <c r="E14">
        <v>2031.4187125226999</v>
      </c>
      <c r="F14">
        <v>197.769620633839</v>
      </c>
      <c r="G14">
        <v>2033.89620917502</v>
      </c>
      <c r="H14">
        <v>164.92603158531699</v>
      </c>
      <c r="I14">
        <v>2024.5769323878101</v>
      </c>
      <c r="J14">
        <v>190.21983279552401</v>
      </c>
      <c r="K14">
        <v>2025.53107612549</v>
      </c>
      <c r="L14">
        <v>179.56833497044099</v>
      </c>
    </row>
    <row r="15" spans="1:12">
      <c r="C15">
        <v>2029.9514279817899</v>
      </c>
      <c r="D15">
        <v>217.45198520135</v>
      </c>
      <c r="E15">
        <v>2032.2278249749099</v>
      </c>
      <c r="F15">
        <v>197.97952279903799</v>
      </c>
      <c r="G15">
        <v>2034.4872072875501</v>
      </c>
      <c r="H15">
        <v>162.28679499560499</v>
      </c>
      <c r="I15">
        <v>2025.38603431306</v>
      </c>
      <c r="J15">
        <v>190.374573726688</v>
      </c>
      <c r="K15">
        <v>2026.3397689113001</v>
      </c>
      <c r="L15">
        <v>177.57918518440999</v>
      </c>
    </row>
    <row r="16" spans="1:12">
      <c r="C16">
        <v>2030.76045107459</v>
      </c>
      <c r="D16">
        <v>217.19364407495101</v>
      </c>
      <c r="E16">
        <v>2033.03692510168</v>
      </c>
      <c r="F16">
        <v>198.124839682638</v>
      </c>
      <c r="G16">
        <v>2035.74505006861</v>
      </c>
      <c r="H16">
        <v>157.60561647503599</v>
      </c>
      <c r="I16">
        <v>2026.1949865407501</v>
      </c>
      <c r="J16">
        <v>189.74489939507501</v>
      </c>
      <c r="K16">
        <v>2027.1484267603601</v>
      </c>
      <c r="L16">
        <v>175.40696687994</v>
      </c>
    </row>
    <row r="17" spans="3:12">
      <c r="C17">
        <v>2031.5694371910899</v>
      </c>
      <c r="D17">
        <v>216.74154710375299</v>
      </c>
      <c r="E17">
        <v>2033.8460591234</v>
      </c>
      <c r="F17">
        <v>198.44776609063601</v>
      </c>
      <c r="G17">
        <v>2036.41207098106</v>
      </c>
      <c r="H17">
        <v>154.90652207883301</v>
      </c>
      <c r="I17">
        <v>2027.00406509801</v>
      </c>
      <c r="J17">
        <v>189.777192035875</v>
      </c>
      <c r="K17">
        <v>2027.95711398505</v>
      </c>
      <c r="L17">
        <v>173.38867682994899</v>
      </c>
    </row>
    <row r="18" spans="3:12">
      <c r="C18">
        <v>2032.37842022623</v>
      </c>
      <c r="D18">
        <v>216.27330381215501</v>
      </c>
      <c r="E18">
        <v>2034.6551438433801</v>
      </c>
      <c r="F18">
        <v>198.512351372236</v>
      </c>
      <c r="G18">
        <v>2037.54706485008</v>
      </c>
      <c r="H18">
        <v>150.25904069306901</v>
      </c>
      <c r="I18">
        <v>2027.8131374925499</v>
      </c>
      <c r="J18">
        <v>189.777192035875</v>
      </c>
      <c r="K18">
        <v>2028.7658073724599</v>
      </c>
      <c r="L18">
        <v>171.40267942075801</v>
      </c>
    </row>
    <row r="19" spans="3:12">
      <c r="C19">
        <v>2033.1873909359299</v>
      </c>
      <c r="D19">
        <v>215.740475238958</v>
      </c>
      <c r="E19">
        <v>2035.4642193192799</v>
      </c>
      <c r="F19">
        <v>198.52849769263599</v>
      </c>
      <c r="G19">
        <v>2038.17589625409</v>
      </c>
      <c r="H19">
        <v>147.44692205406699</v>
      </c>
      <c r="I19">
        <v>2028.6222098871001</v>
      </c>
      <c r="J19">
        <v>189.777192035875</v>
      </c>
      <c r="K19">
        <v>2029.5745192480099</v>
      </c>
      <c r="L19">
        <v>169.513559933967</v>
      </c>
    </row>
    <row r="20" spans="3:12">
      <c r="C20">
        <v>2033.99637705242</v>
      </c>
      <c r="D20">
        <v>215.28837826776001</v>
      </c>
      <c r="E20">
        <v>2036.27328246975</v>
      </c>
      <c r="F20">
        <v>198.480058731436</v>
      </c>
      <c r="G20">
        <v>2039.4252075238401</v>
      </c>
      <c r="H20">
        <v>141.82262044809201</v>
      </c>
      <c r="I20">
        <v>2029.4312822816401</v>
      </c>
      <c r="J20">
        <v>189.777192035875</v>
      </c>
      <c r="K20">
        <v>2030.38312019465</v>
      </c>
      <c r="L20">
        <v>167.043172912778</v>
      </c>
    </row>
    <row r="21" spans="3:12">
      <c r="C21">
        <v>2034.80534159941</v>
      </c>
      <c r="D21">
        <v>214.72325705376201</v>
      </c>
      <c r="E21">
        <v>2037.08235486429</v>
      </c>
      <c r="F21">
        <v>198.480058731436</v>
      </c>
      <c r="G21">
        <v>2039.9029907024501</v>
      </c>
      <c r="H21">
        <v>140.224134728499</v>
      </c>
      <c r="I21">
        <v>2030.2403315659899</v>
      </c>
      <c r="J21">
        <v>189.65609463287601</v>
      </c>
      <c r="K21">
        <v>2031.1916287005299</v>
      </c>
      <c r="L21">
        <v>164.088396279591</v>
      </c>
    </row>
    <row r="22" spans="3:12">
      <c r="C22">
        <v>2035.6143646922101</v>
      </c>
      <c r="D22">
        <v>214.46491592736399</v>
      </c>
      <c r="E22">
        <v>2037.89137487574</v>
      </c>
      <c r="F22">
        <v>198.20557128463699</v>
      </c>
      <c r="G22">
        <v>2041.2627204125199</v>
      </c>
      <c r="H22">
        <v>135.073458520923</v>
      </c>
      <c r="I22">
        <v>2030.70562803504</v>
      </c>
      <c r="J22">
        <v>188.27024501719501</v>
      </c>
      <c r="K22">
        <v>2032.0001711013499</v>
      </c>
      <c r="L22">
        <v>161.31122917080401</v>
      </c>
    </row>
    <row r="23" spans="3:12">
      <c r="C23">
        <v>2036.4234031918099</v>
      </c>
      <c r="D23">
        <v>214.28730640296399</v>
      </c>
      <c r="E23">
        <v>2038.7004318634899</v>
      </c>
      <c r="F23">
        <v>198.124839682638</v>
      </c>
      <c r="G23">
        <v>2041.7772909073899</v>
      </c>
      <c r="H23">
        <v>133.53417597613</v>
      </c>
      <c r="I23">
        <v>2031.46867121991</v>
      </c>
      <c r="J23">
        <v>186.61653373559699</v>
      </c>
      <c r="K23">
        <v>2032.80868576994</v>
      </c>
      <c r="L23">
        <v>158.388745178417</v>
      </c>
    </row>
    <row r="24" spans="3:12">
      <c r="C24">
        <v>2037.2324416914</v>
      </c>
      <c r="D24">
        <v>214.10969687856499</v>
      </c>
      <c r="E24">
        <v>2039.50950117667</v>
      </c>
      <c r="F24">
        <v>198.108693362238</v>
      </c>
      <c r="G24">
        <v>2043.1738253947501</v>
      </c>
      <c r="H24">
        <v>128.53419875895199</v>
      </c>
      <c r="I24">
        <v>2032.1413387090099</v>
      </c>
      <c r="J24">
        <v>185.263110011511</v>
      </c>
      <c r="K24">
        <v>2033.6171881130899</v>
      </c>
      <c r="L24">
        <v>155.40167590443099</v>
      </c>
    </row>
    <row r="25" spans="3:12">
      <c r="C25">
        <v>2038.0414709469201</v>
      </c>
      <c r="D25">
        <v>213.88364839296599</v>
      </c>
      <c r="E25">
        <v>2040.31852735083</v>
      </c>
      <c r="F25">
        <v>197.86649855623901</v>
      </c>
      <c r="G25">
        <v>2043.65163630559</v>
      </c>
      <c r="H25">
        <v>127.081029922959</v>
      </c>
      <c r="I25">
        <v>2032.73002564583</v>
      </c>
      <c r="J25">
        <v>183.930676794146</v>
      </c>
      <c r="K25">
        <v>2034.4257089444</v>
      </c>
      <c r="L25">
        <v>152.511484552844</v>
      </c>
    </row>
    <row r="26" spans="3:12">
      <c r="C26">
        <v>2038.8505213317601</v>
      </c>
      <c r="D26">
        <v>213.76831753296699</v>
      </c>
      <c r="E26">
        <v>2041.1275812572201</v>
      </c>
      <c r="F26">
        <v>197.769620633839</v>
      </c>
      <c r="G26">
        <v>2045.0849550278399</v>
      </c>
      <c r="H26">
        <v>122.124109560181</v>
      </c>
      <c r="I26">
        <v>2033.4795580759701</v>
      </c>
      <c r="J26">
        <v>182.374283872424</v>
      </c>
      <c r="K26">
        <v>2035.19738227025</v>
      </c>
      <c r="L26">
        <v>149.246698567979</v>
      </c>
    </row>
    <row r="27" spans="3:12">
      <c r="C27">
        <v>2039.65953870204</v>
      </c>
      <c r="D27">
        <v>213.479990382968</v>
      </c>
      <c r="E27">
        <v>2041.93665365177</v>
      </c>
      <c r="F27">
        <v>197.769620633839</v>
      </c>
      <c r="G27">
        <v>2045.5995676346099</v>
      </c>
      <c r="H27">
        <v>120.805493394187</v>
      </c>
      <c r="I27">
        <v>2034.02738600117</v>
      </c>
      <c r="J27">
        <v>181.25575594611499</v>
      </c>
      <c r="K27">
        <v>2035.8953500400901</v>
      </c>
      <c r="L27">
        <v>145.17746702007699</v>
      </c>
    </row>
    <row r="28" spans="3:12">
      <c r="C28">
        <v>2040.4686326660899</v>
      </c>
      <c r="D28">
        <v>213.59301462576801</v>
      </c>
      <c r="E28">
        <v>2042.74572604631</v>
      </c>
      <c r="F28">
        <v>197.769620633839</v>
      </c>
      <c r="G28">
        <v>2046.8790429952401</v>
      </c>
      <c r="H28">
        <v>117.003024218676</v>
      </c>
      <c r="I28">
        <v>2034.57324748773</v>
      </c>
      <c r="J28">
        <v>180.48229359231701</v>
      </c>
      <c r="K28">
        <v>2036.5565613757401</v>
      </c>
      <c r="L28">
        <v>141.21085430849499</v>
      </c>
    </row>
    <row r="29" spans="3:12">
      <c r="C29">
        <v>2041.2777605250999</v>
      </c>
      <c r="D29">
        <v>213.88364839296599</v>
      </c>
      <c r="E29">
        <v>2043.5547891967799</v>
      </c>
      <c r="F29">
        <v>197.72118167263901</v>
      </c>
      <c r="G29">
        <v>2047.63897174883</v>
      </c>
      <c r="H29">
        <v>114.960595098048</v>
      </c>
      <c r="I29">
        <v>2035.3131590344401</v>
      </c>
      <c r="J29">
        <v>177.79794102250901</v>
      </c>
      <c r="K29">
        <v>2037.2177689452801</v>
      </c>
      <c r="L29">
        <v>137.22450720531299</v>
      </c>
    </row>
    <row r="30" spans="3:12">
      <c r="C30">
        <v>2042.08688530274</v>
      </c>
      <c r="D30">
        <v>214.15813583976501</v>
      </c>
      <c r="E30">
        <v>2044.3638184522999</v>
      </c>
      <c r="F30">
        <v>197.49513318704001</v>
      </c>
      <c r="G30">
        <v>2048.9325253837101</v>
      </c>
      <c r="H30">
        <v>111.39021516187</v>
      </c>
      <c r="I30">
        <v>2035.8356590164001</v>
      </c>
      <c r="J30">
        <v>175.69236251246201</v>
      </c>
      <c r="K30">
        <v>2037.87900287756</v>
      </c>
      <c r="L30">
        <v>133.37630084333</v>
      </c>
    </row>
    <row r="31" spans="3:12">
      <c r="C31">
        <v>2042.89602856854</v>
      </c>
      <c r="D31">
        <v>214.52950120896301</v>
      </c>
      <c r="E31">
        <v>2045.1728754400499</v>
      </c>
      <c r="F31">
        <v>197.41440158504099</v>
      </c>
      <c r="G31">
        <v>2049.6533378641002</v>
      </c>
      <c r="H31">
        <v>109.805806342102</v>
      </c>
      <c r="I31">
        <v>2036.3366031850001</v>
      </c>
      <c r="J31">
        <v>174.04260280614599</v>
      </c>
      <c r="K31">
        <v>2038.54021797932</v>
      </c>
      <c r="L31">
        <v>129.42942252334799</v>
      </c>
    </row>
    <row r="32" spans="3:12">
      <c r="C32">
        <v>2043.70515642754</v>
      </c>
      <c r="D32">
        <v>214.820134976162</v>
      </c>
      <c r="E32">
        <v>2045.9819478345901</v>
      </c>
      <c r="F32">
        <v>197.41440158504099</v>
      </c>
      <c r="I32">
        <v>2037.0199919271799</v>
      </c>
      <c r="J32">
        <v>171.46367663115799</v>
      </c>
      <c r="K32">
        <v>2039.2014443793901</v>
      </c>
      <c r="L32">
        <v>125.54174737816599</v>
      </c>
    </row>
    <row r="33" spans="3:12">
      <c r="C33">
        <v>2044.5142812051799</v>
      </c>
      <c r="D33">
        <v>215.09462242296101</v>
      </c>
      <c r="E33">
        <v>2046.7910079036999</v>
      </c>
      <c r="F33">
        <v>197.349816303441</v>
      </c>
      <c r="I33">
        <v>2037.4874889175501</v>
      </c>
      <c r="J33">
        <v>168.68020462896399</v>
      </c>
      <c r="K33">
        <v>2039.8626519489301</v>
      </c>
      <c r="L33">
        <v>121.555400274984</v>
      </c>
    </row>
    <row r="34" spans="3:12">
      <c r="C34">
        <v>2045.3234522032101</v>
      </c>
      <c r="D34">
        <v>215.61130467575799</v>
      </c>
      <c r="E34">
        <v>2047.60002483378</v>
      </c>
      <c r="F34">
        <v>197.05918253624199</v>
      </c>
      <c r="I34">
        <v>2038.2442018837801</v>
      </c>
      <c r="J34">
        <v>165.298420526033</v>
      </c>
      <c r="K34">
        <v>2040.4870853836001</v>
      </c>
      <c r="L34">
        <v>117.578920367602</v>
      </c>
    </row>
    <row r="35" spans="3:12">
      <c r="C35">
        <v>2046.13270639793</v>
      </c>
      <c r="D35">
        <v>216.56393757935399</v>
      </c>
      <c r="E35">
        <v>2048.4090972283302</v>
      </c>
      <c r="F35">
        <v>197.05918253624199</v>
      </c>
      <c r="I35">
        <v>2039.10807555417</v>
      </c>
      <c r="J35">
        <v>161.46961688520301</v>
      </c>
      <c r="K35">
        <v>2041.07475598169</v>
      </c>
      <c r="L35">
        <v>113.671510830819</v>
      </c>
    </row>
    <row r="36" spans="3:12">
      <c r="C36">
        <v>2046.9419544299301</v>
      </c>
      <c r="D36">
        <v>217.48427784214999</v>
      </c>
      <c r="E36">
        <v>2049.2181696228699</v>
      </c>
      <c r="F36">
        <v>197.05918253624199</v>
      </c>
      <c r="I36">
        <v>2039.6364100639</v>
      </c>
      <c r="J36">
        <v>159.46442944709301</v>
      </c>
      <c r="K36">
        <v>2041.6624223429201</v>
      </c>
      <c r="L36">
        <v>109.741900103487</v>
      </c>
    </row>
    <row r="37" spans="3:12">
      <c r="C37">
        <v>2047.751211706</v>
      </c>
      <c r="D37">
        <v>218.45305706614599</v>
      </c>
      <c r="E37">
        <v>2049.7697590494599</v>
      </c>
      <c r="F37">
        <v>196.79276824964401</v>
      </c>
      <c r="I37">
        <v>2040.2756575789399</v>
      </c>
      <c r="J37">
        <v>156.758735690425</v>
      </c>
      <c r="K37">
        <v>2042.2500929410201</v>
      </c>
      <c r="L37">
        <v>105.834490566705</v>
      </c>
    </row>
    <row r="38" spans="3:12">
      <c r="C38">
        <v>2048.5604628193601</v>
      </c>
      <c r="D38">
        <v>219.38954364934099</v>
      </c>
      <c r="I38">
        <v>2041.1038340397399</v>
      </c>
      <c r="J38">
        <v>152.39461594804399</v>
      </c>
      <c r="K38">
        <v>2042.83776353912</v>
      </c>
      <c r="L38">
        <v>101.927081029923</v>
      </c>
    </row>
    <row r="39" spans="3:12">
      <c r="C39">
        <v>2049.3697139327201</v>
      </c>
      <c r="D39">
        <v>220.32603023253699</v>
      </c>
      <c r="I39">
        <v>2041.7734914852799</v>
      </c>
      <c r="J39">
        <v>149.30319895898401</v>
      </c>
      <c r="K39">
        <v>2043.42542142661</v>
      </c>
      <c r="L39">
        <v>97.953067921490998</v>
      </c>
    </row>
    <row r="40" spans="3:12">
      <c r="C40">
        <v>2049.8479038506998</v>
      </c>
      <c r="D40">
        <v>220.858858805735</v>
      </c>
      <c r="I40">
        <v>2042.5669641612201</v>
      </c>
      <c r="J40">
        <v>144.84270535332101</v>
      </c>
      <c r="K40">
        <v>2044.01308342992</v>
      </c>
      <c r="L40">
        <v>94.000621683878904</v>
      </c>
    </row>
    <row r="41" spans="3:12">
      <c r="I41">
        <v>2043.43970043843</v>
      </c>
      <c r="J41">
        <v>140.657367522577</v>
      </c>
      <c r="K41">
        <v>2044.5640204998199</v>
      </c>
      <c r="L41">
        <v>90.315858372325494</v>
      </c>
    </row>
    <row r="42" spans="3:12">
      <c r="I42">
        <v>2044.1836845185201</v>
      </c>
      <c r="J42">
        <v>136.83068422713001</v>
      </c>
      <c r="K42">
        <v>2045.1516873318101</v>
      </c>
      <c r="L42">
        <v>86.3887144439433</v>
      </c>
    </row>
    <row r="43" spans="3:12">
      <c r="I43">
        <v>2044.7048111634999</v>
      </c>
      <c r="J43">
        <v>134.50974133478601</v>
      </c>
      <c r="K43">
        <v>2045.8497439817299</v>
      </c>
      <c r="L43">
        <v>82.785214537799504</v>
      </c>
    </row>
    <row r="44" spans="3:12">
      <c r="I44">
        <v>2045.32780872698</v>
      </c>
      <c r="J44">
        <v>131.38041479568301</v>
      </c>
      <c r="K44">
        <v>2046.62128357661</v>
      </c>
      <c r="L44">
        <v>78.8196782475775</v>
      </c>
    </row>
    <row r="45" spans="3:12">
      <c r="I45">
        <v>2046.0208289290699</v>
      </c>
      <c r="J45">
        <v>128.150696846133</v>
      </c>
      <c r="K45">
        <v>2047.35609796173</v>
      </c>
      <c r="L45">
        <v>75.120376840394201</v>
      </c>
    </row>
    <row r="46" spans="3:12">
      <c r="I46">
        <v>2046.74899440531</v>
      </c>
      <c r="J46">
        <v>125.43472625448899</v>
      </c>
      <c r="K46">
        <v>2048.0541086651701</v>
      </c>
      <c r="L46">
        <v>71.276117356731604</v>
      </c>
    </row>
    <row r="47" spans="3:12">
      <c r="I47">
        <v>2047.3188608509799</v>
      </c>
      <c r="J47">
        <v>122.352363065631</v>
      </c>
      <c r="K47">
        <v>2048.7889036719698</v>
      </c>
      <c r="L47">
        <v>67.475273534588794</v>
      </c>
    </row>
    <row r="48" spans="3:12">
      <c r="I48">
        <v>2047.9645596412799</v>
      </c>
      <c r="J48">
        <v>119.30360232821501</v>
      </c>
      <c r="K48">
        <v>2049.4501635903798</v>
      </c>
      <c r="L48">
        <v>63.7632344746456</v>
      </c>
    </row>
    <row r="49" spans="9:12">
      <c r="I49">
        <v>2048.6259531085102</v>
      </c>
      <c r="J49">
        <v>116.438560068941</v>
      </c>
      <c r="K49">
        <v>2049.8174153455102</v>
      </c>
      <c r="L49">
        <v>61.099091608657602</v>
      </c>
    </row>
    <row r="50" spans="9:12">
      <c r="I50">
        <v>2049.1609143580299</v>
      </c>
      <c r="J50">
        <v>114.13423038122799</v>
      </c>
    </row>
    <row r="51" spans="9:12">
      <c r="I51">
        <v>2049.76291499338</v>
      </c>
      <c r="J51">
        <v>111.281801804989</v>
      </c>
    </row>
  </sheetData>
  <sortState xmlns:xlrd2="http://schemas.microsoft.com/office/spreadsheetml/2017/richdata2" ref="K2:L49">
    <sortCondition ref="K2:K49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FA32-BCAF-4684-831C-F520D9590D26}">
  <sheetPr>
    <tabColor rgb="FFFF0000"/>
  </sheetPr>
  <dimension ref="A1:L44"/>
  <sheetViews>
    <sheetView workbookViewId="0">
      <selection activeCell="K1" sqref="K1"/>
    </sheetView>
  </sheetViews>
  <sheetFormatPr defaultRowHeight="14.25"/>
  <cols>
    <col min="2" max="2" width="11.7109375" bestFit="1" customWidth="1"/>
    <col min="4" max="4" width="16.140625" customWidth="1"/>
    <col min="10" max="10" width="10.5703125" customWidth="1"/>
  </cols>
  <sheetData>
    <row r="1" spans="1:12" s="12" customFormat="1" ht="28.5">
      <c r="A1" s="12" t="s">
        <v>1</v>
      </c>
      <c r="B1" s="12" t="s">
        <v>109</v>
      </c>
      <c r="C1" s="12" t="s">
        <v>1</v>
      </c>
      <c r="D1" s="12" t="s">
        <v>110</v>
      </c>
      <c r="E1" s="12" t="s">
        <v>1</v>
      </c>
      <c r="F1" s="12" t="s">
        <v>111</v>
      </c>
      <c r="G1" s="12" t="s">
        <v>1</v>
      </c>
      <c r="H1" s="12" t="s">
        <v>112</v>
      </c>
      <c r="I1" s="12" t="s">
        <v>1</v>
      </c>
      <c r="J1" s="12" t="s">
        <v>113</v>
      </c>
      <c r="K1" s="12" t="s">
        <v>1</v>
      </c>
      <c r="L1" s="12" t="s">
        <v>114</v>
      </c>
    </row>
    <row r="2" spans="1:12">
      <c r="A2">
        <v>2015.48763419023</v>
      </c>
      <c r="B2">
        <v>125.48408281297201</v>
      </c>
      <c r="C2">
        <v>2021.17846257066</v>
      </c>
      <c r="D2">
        <v>144.978342753623</v>
      </c>
      <c r="E2">
        <v>2021.6043405667699</v>
      </c>
      <c r="F2">
        <v>144.750194274167</v>
      </c>
      <c r="G2">
        <v>2021.1055825461499</v>
      </c>
      <c r="H2">
        <v>144.29844937232301</v>
      </c>
      <c r="I2">
        <v>2015.3077157289899</v>
      </c>
      <c r="J2">
        <v>124.97498939032801</v>
      </c>
      <c r="K2">
        <v>2015.8567941435999</v>
      </c>
      <c r="L2">
        <v>123.07139957506099</v>
      </c>
    </row>
    <row r="3" spans="1:12">
      <c r="A3">
        <v>2016.2982163209999</v>
      </c>
      <c r="B3">
        <v>128.380826715193</v>
      </c>
      <c r="C3">
        <v>2022.2262256838201</v>
      </c>
      <c r="D3">
        <v>148.490661982886</v>
      </c>
      <c r="E3">
        <v>2022.41530127448</v>
      </c>
      <c r="F3">
        <v>145.66824272887101</v>
      </c>
      <c r="G3">
        <v>2023.5221081252901</v>
      </c>
      <c r="H3">
        <v>141.94778838035401</v>
      </c>
      <c r="I3">
        <v>2016.26382049259</v>
      </c>
      <c r="J3">
        <v>127.73409166520599</v>
      </c>
      <c r="K3">
        <v>2016.6675545666801</v>
      </c>
      <c r="L3">
        <v>125.036269032988</v>
      </c>
    </row>
    <row r="4" spans="1:12">
      <c r="A4">
        <v>2017.1217232420099</v>
      </c>
      <c r="B4">
        <v>131.73800054223</v>
      </c>
      <c r="C4">
        <v>2023.0439343489199</v>
      </c>
      <c r="D4">
        <v>150.60771659989501</v>
      </c>
      <c r="E4">
        <v>2023.2262810324</v>
      </c>
      <c r="F4">
        <v>146.48672209072399</v>
      </c>
      <c r="G4">
        <v>2024.11211451946</v>
      </c>
      <c r="H4">
        <v>141.48237838561599</v>
      </c>
      <c r="I4">
        <v>2017.40392073106</v>
      </c>
      <c r="J4">
        <v>130.42246268055999</v>
      </c>
      <c r="K4">
        <v>2017.47822540229</v>
      </c>
      <c r="L4">
        <v>127.46938233297401</v>
      </c>
    </row>
    <row r="5" spans="1:12">
      <c r="A5">
        <v>2017.7716248806901</v>
      </c>
      <c r="B5">
        <v>135.61878031976499</v>
      </c>
      <c r="C5">
        <v>2023.9622499913301</v>
      </c>
      <c r="D5">
        <v>153.948976175193</v>
      </c>
      <c r="E5">
        <v>2024.03726079031</v>
      </c>
      <c r="F5">
        <v>147.30520145257699</v>
      </c>
      <c r="G5">
        <v>2025.8085101014799</v>
      </c>
      <c r="H5">
        <v>139.47949912671601</v>
      </c>
      <c r="I5">
        <v>2018.2147301698101</v>
      </c>
      <c r="J5">
        <v>132.131143553637</v>
      </c>
      <c r="K5">
        <v>2018.28902289604</v>
      </c>
      <c r="L5">
        <v>129.24049571832501</v>
      </c>
    </row>
    <row r="6" spans="1:12">
      <c r="A6">
        <v>2018.43882840991</v>
      </c>
      <c r="B6">
        <v>139.75367918534999</v>
      </c>
      <c r="C6">
        <v>2024.77288298396</v>
      </c>
      <c r="D6">
        <v>156.57988213260001</v>
      </c>
      <c r="E6">
        <v>2024.84824054823</v>
      </c>
      <c r="F6">
        <v>148.12368081443</v>
      </c>
      <c r="G6">
        <v>2026.3985634518499</v>
      </c>
      <c r="H6">
        <v>138.768664773382</v>
      </c>
      <c r="I6">
        <v>2019.02547823599</v>
      </c>
      <c r="J6">
        <v>134.16059836909</v>
      </c>
      <c r="K6">
        <v>2019.0998698173601</v>
      </c>
      <c r="L6">
        <v>130.75326767357501</v>
      </c>
    </row>
    <row r="7" spans="1:12">
      <c r="A7">
        <v>2019.17135752903</v>
      </c>
      <c r="B7">
        <v>142.52349599651001</v>
      </c>
      <c r="C7">
        <v>2025.5835745002</v>
      </c>
      <c r="D7">
        <v>158.90490466061701</v>
      </c>
      <c r="E7">
        <v>2025.65928517983</v>
      </c>
      <c r="F7">
        <v>148.60308704927499</v>
      </c>
      <c r="G7">
        <v>2027.65246824989</v>
      </c>
      <c r="H7">
        <v>137.041608747314</v>
      </c>
      <c r="I7">
        <v>2019.8364116555599</v>
      </c>
      <c r="J7">
        <v>135.22127282166301</v>
      </c>
      <c r="K7">
        <v>2019.91078779082</v>
      </c>
      <c r="L7">
        <v>131.894673823055</v>
      </c>
    </row>
    <row r="8" spans="1:12">
      <c r="A8">
        <v>2019.98295204234</v>
      </c>
      <c r="B8">
        <v>140.128853821478</v>
      </c>
      <c r="C8">
        <v>2026.3943040310501</v>
      </c>
      <c r="D8">
        <v>161.031237512357</v>
      </c>
      <c r="E8">
        <v>2026.47034525755</v>
      </c>
      <c r="F8">
        <v>149.00176158721399</v>
      </c>
      <c r="G8">
        <v>2028.4639012411501</v>
      </c>
      <c r="H8">
        <v>135.49118854096301</v>
      </c>
      <c r="I8">
        <v>2020.6474470195001</v>
      </c>
      <c r="J8">
        <v>135.74911807465199</v>
      </c>
      <c r="K8">
        <v>2020.7221797393599</v>
      </c>
      <c r="L8">
        <v>130.55877018745599</v>
      </c>
    </row>
    <row r="9" spans="1:12">
      <c r="A9">
        <v>2020.79355182582</v>
      </c>
      <c r="B9">
        <v>142.933332927235</v>
      </c>
      <c r="C9">
        <v>2027.2050366511201</v>
      </c>
      <c r="D9">
        <v>163.141424024717</v>
      </c>
      <c r="E9">
        <v>2027.28140224605</v>
      </c>
      <c r="F9">
        <v>149.41658246453301</v>
      </c>
      <c r="G9">
        <v>2030.0865666444599</v>
      </c>
      <c r="H9">
        <v>133.43870871603599</v>
      </c>
      <c r="I9">
        <v>2021.45858432779</v>
      </c>
      <c r="J9">
        <v>135.744134128057</v>
      </c>
      <c r="K9">
        <v>2021.5395316055101</v>
      </c>
      <c r="L9">
        <v>127.71949217168699</v>
      </c>
    </row>
    <row r="10" spans="1:12">
      <c r="A10">
        <v>2021.2357679335501</v>
      </c>
      <c r="B10">
        <v>144.093150846366</v>
      </c>
      <c r="C10">
        <v>2028.01577236041</v>
      </c>
      <c r="D10">
        <v>165.23546419769499</v>
      </c>
      <c r="E10">
        <v>2028.09247159143</v>
      </c>
      <c r="F10">
        <v>149.76681798432799</v>
      </c>
      <c r="G10">
        <v>2030.7137221820501</v>
      </c>
      <c r="H10">
        <v>131.513443098198</v>
      </c>
      <c r="I10">
        <v>2022.26972163609</v>
      </c>
      <c r="J10">
        <v>135.73915018146201</v>
      </c>
      <c r="K10">
        <v>2022.3455466169701</v>
      </c>
      <c r="L10">
        <v>124.839918013011</v>
      </c>
    </row>
    <row r="11" spans="1:12">
      <c r="C11">
        <v>2028.82650498048</v>
      </c>
      <c r="D11">
        <v>167.345650710054</v>
      </c>
      <c r="E11">
        <v>2028.90354093682</v>
      </c>
      <c r="F11">
        <v>150.117053504122</v>
      </c>
      <c r="G11">
        <v>2032.3000088941899</v>
      </c>
      <c r="H11">
        <v>126.893921854666</v>
      </c>
      <c r="I11">
        <v>2023.08085894438</v>
      </c>
      <c r="J11">
        <v>135.73416623486699</v>
      </c>
      <c r="K11">
        <v>2023.1572477084801</v>
      </c>
      <c r="L11">
        <v>121.88822712932399</v>
      </c>
    </row>
    <row r="12" spans="1:12">
      <c r="C12">
        <v>2029.6372430066899</v>
      </c>
      <c r="D12">
        <v>169.427581128496</v>
      </c>
      <c r="E12">
        <v>2029.71461337143</v>
      </c>
      <c r="F12">
        <v>150.45114268453599</v>
      </c>
      <c r="G12">
        <v>2032.8164322596499</v>
      </c>
      <c r="H12">
        <v>125.609807328036</v>
      </c>
      <c r="I12">
        <v>2023.89199625268</v>
      </c>
      <c r="J12">
        <v>135.72918228827299</v>
      </c>
      <c r="K12">
        <v>2023.96893026466</v>
      </c>
      <c r="L12">
        <v>119.033414281925</v>
      </c>
    </row>
    <row r="13" spans="1:12">
      <c r="C13">
        <v>2030.44802891586</v>
      </c>
      <c r="D13">
        <v>171.25924328652701</v>
      </c>
      <c r="E13">
        <v>2030.52573832283</v>
      </c>
      <c r="F13">
        <v>150.51074409546601</v>
      </c>
      <c r="G13">
        <v>2034.2920727830301</v>
      </c>
      <c r="H13">
        <v>121.182030729597</v>
      </c>
      <c r="I13">
        <v>2024.7031335609699</v>
      </c>
      <c r="J13">
        <v>135.724198341678</v>
      </c>
      <c r="K13">
        <v>2024.78060200855</v>
      </c>
      <c r="L13">
        <v>116.23511362236</v>
      </c>
    </row>
    <row r="14" spans="1:12">
      <c r="C14">
        <v>2031.2588511233901</v>
      </c>
      <c r="D14">
        <v>172.90118595682799</v>
      </c>
      <c r="E14">
        <v>2031.3368910772399</v>
      </c>
      <c r="F14">
        <v>150.42502845196501</v>
      </c>
      <c r="G14">
        <v>2034.8084930592699</v>
      </c>
      <c r="H14">
        <v>119.91406254234801</v>
      </c>
      <c r="I14">
        <v>2025.5142708692699</v>
      </c>
      <c r="J14">
        <v>135.71921439508299</v>
      </c>
      <c r="K14">
        <v>2025.5923787860199</v>
      </c>
      <c r="L14">
        <v>112.887837423831</v>
      </c>
    </row>
    <row r="15" spans="1:12">
      <c r="C15">
        <v>2032.0696733309301</v>
      </c>
      <c r="D15">
        <v>174.54312862712899</v>
      </c>
      <c r="E15">
        <v>2032.1480778131099</v>
      </c>
      <c r="F15">
        <v>150.161703075269</v>
      </c>
      <c r="G15">
        <v>2036.35771578757</v>
      </c>
      <c r="H15">
        <v>116.30929616630399</v>
      </c>
      <c r="I15">
        <v>2026.3254081775599</v>
      </c>
      <c r="J15">
        <v>135.714230448488</v>
      </c>
      <c r="K15">
        <v>2026.40418645573</v>
      </c>
      <c r="L15">
        <v>109.379097831488</v>
      </c>
    </row>
    <row r="16" spans="1:12">
      <c r="C16">
        <v>2032.8804924492499</v>
      </c>
      <c r="D16">
        <v>176.20121763681101</v>
      </c>
      <c r="E16">
        <v>2032.95923365674</v>
      </c>
      <c r="F16">
        <v>150.05984109238599</v>
      </c>
      <c r="G16">
        <v>2036.9109539395399</v>
      </c>
      <c r="H16">
        <v>115.312898148946</v>
      </c>
      <c r="I16">
        <v>2027.1365454858601</v>
      </c>
      <c r="J16">
        <v>135.709246501894</v>
      </c>
      <c r="K16">
        <v>2027.21599103621</v>
      </c>
      <c r="L16">
        <v>105.886504578526</v>
      </c>
    </row>
    <row r="17" spans="3:12">
      <c r="C17">
        <v>2033.6913146567899</v>
      </c>
      <c r="D17">
        <v>177.84316030711199</v>
      </c>
      <c r="E17">
        <v>2033.77039567882</v>
      </c>
      <c r="F17">
        <v>149.925686430741</v>
      </c>
      <c r="G17">
        <v>2038.49702749528</v>
      </c>
      <c r="H17">
        <v>111.80747432272599</v>
      </c>
      <c r="I17">
        <v>2027.9476827941501</v>
      </c>
      <c r="J17">
        <v>135.70426255529901</v>
      </c>
      <c r="K17">
        <v>2028.0277956166999</v>
      </c>
      <c r="L17">
        <v>102.39391132556401</v>
      </c>
    </row>
    <row r="18" spans="3:12">
      <c r="C18">
        <v>2034.50213377511</v>
      </c>
      <c r="D18">
        <v>179.501249316794</v>
      </c>
      <c r="E18">
        <v>2034.5815422547901</v>
      </c>
      <c r="F18">
        <v>149.87226346600201</v>
      </c>
      <c r="G18">
        <v>2039.05026487494</v>
      </c>
      <c r="H18">
        <v>110.815112890214</v>
      </c>
      <c r="I18">
        <v>2028.75882010245</v>
      </c>
      <c r="J18">
        <v>135.69927860870399</v>
      </c>
      <c r="K18">
        <v>2028.83955385883</v>
      </c>
      <c r="L18">
        <v>99.143513163322794</v>
      </c>
    </row>
    <row r="19" spans="3:12">
      <c r="C19">
        <v>2035.31299305332</v>
      </c>
      <c r="D19">
        <v>180.949435914519</v>
      </c>
      <c r="E19">
        <v>2035.3927135445299</v>
      </c>
      <c r="F19">
        <v>149.68966978621299</v>
      </c>
      <c r="G19">
        <v>2040.63627741852</v>
      </c>
      <c r="H19">
        <v>107.628579266776</v>
      </c>
      <c r="I19">
        <v>2029.56998521375</v>
      </c>
      <c r="J19">
        <v>135.54897760767699</v>
      </c>
      <c r="K19">
        <v>2029.61441534708</v>
      </c>
      <c r="L19">
        <v>96.033814696725699</v>
      </c>
    </row>
    <row r="20" spans="3:12">
      <c r="C20">
        <v>2036.1239172052201</v>
      </c>
      <c r="D20">
        <v>182.05854938523601</v>
      </c>
      <c r="E20">
        <v>2036.2038508528301</v>
      </c>
      <c r="F20">
        <v>149.684685839618</v>
      </c>
      <c r="G20">
        <v>2041.22639131766</v>
      </c>
      <c r="H20">
        <v>106.601276661567</v>
      </c>
      <c r="I20">
        <v>2030.3812151987399</v>
      </c>
      <c r="J20">
        <v>135.05960347964299</v>
      </c>
      <c r="K20">
        <v>2030.38926571412</v>
      </c>
      <c r="L20">
        <v>92.982243051901193</v>
      </c>
    </row>
    <row r="21" spans="3:12">
      <c r="C21">
        <v>2036.9348320894601</v>
      </c>
      <c r="D21">
        <v>183.21610187409601</v>
      </c>
      <c r="E21">
        <v>2037.0149881611201</v>
      </c>
      <c r="F21">
        <v>149.67970189302301</v>
      </c>
      <c r="G21">
        <v>2042.84919913416</v>
      </c>
      <c r="H21">
        <v>103.80445059116001</v>
      </c>
      <c r="I21">
        <v>2031.19265910524</v>
      </c>
      <c r="J21">
        <v>133.45213287414401</v>
      </c>
      <c r="K21">
        <v>2031.20078299686</v>
      </c>
      <c r="L21">
        <v>90.991259361403095</v>
      </c>
    </row>
    <row r="22" spans="3:12">
      <c r="C22">
        <v>2037.7457562413599</v>
      </c>
      <c r="D22">
        <v>184.32521534481299</v>
      </c>
      <c r="E22">
        <v>2037.82612546942</v>
      </c>
      <c r="F22">
        <v>149.67471794642799</v>
      </c>
      <c r="G22">
        <v>2043.4024311076801</v>
      </c>
      <c r="H22">
        <v>102.840345252566</v>
      </c>
      <c r="I22">
        <v>2032.0122335866999</v>
      </c>
      <c r="J22">
        <v>132.17248696957699</v>
      </c>
      <c r="K22">
        <v>2032.0123280826001</v>
      </c>
      <c r="L22">
        <v>88.854958616472999</v>
      </c>
    </row>
    <row r="23" spans="3:12">
      <c r="C23">
        <v>2038.5566711255899</v>
      </c>
      <c r="D23">
        <v>185.48276783367399</v>
      </c>
      <c r="E23">
        <v>2038.63726277772</v>
      </c>
      <c r="F23">
        <v>149.66973399983399</v>
      </c>
      <c r="G23">
        <v>2045.0621177605699</v>
      </c>
      <c r="H23">
        <v>99.996468254926299</v>
      </c>
      <c r="I23">
        <v>2032.8292741580101</v>
      </c>
      <c r="J23">
        <v>130.754360481117</v>
      </c>
      <c r="K23">
        <v>2032.82384845456</v>
      </c>
      <c r="L23">
        <v>86.847828586593494</v>
      </c>
    </row>
    <row r="24" spans="3:12">
      <c r="C24">
        <v>2039.36759218827</v>
      </c>
      <c r="D24">
        <v>186.608027643773</v>
      </c>
      <c r="E24">
        <v>2039.44840008601</v>
      </c>
      <c r="F24">
        <v>149.664750053239</v>
      </c>
      <c r="G24">
        <v>2045.6153203864701</v>
      </c>
      <c r="H24">
        <v>99.185753140454395</v>
      </c>
      <c r="I24">
        <v>2033.5817651401801</v>
      </c>
      <c r="J24">
        <v>129.47933542136801</v>
      </c>
      <c r="K24">
        <v>2033.63533484507</v>
      </c>
      <c r="L24">
        <v>85.018308289908603</v>
      </c>
    </row>
    <row r="25" spans="3:12">
      <c r="C25">
        <v>2040.1785503216199</v>
      </c>
      <c r="D25">
        <v>187.53953138129501</v>
      </c>
      <c r="E25">
        <v>2040.25953739431</v>
      </c>
      <c r="F25">
        <v>149.65976610664401</v>
      </c>
      <c r="G25">
        <v>2047.27498387019</v>
      </c>
      <c r="H25">
        <v>96.4629736881746</v>
      </c>
      <c r="I25">
        <v>2034.4893183823201</v>
      </c>
      <c r="J25">
        <v>127.894522383084</v>
      </c>
      <c r="K25">
        <v>2034.44683668169</v>
      </c>
      <c r="L25">
        <v>83.108056296317102</v>
      </c>
    </row>
    <row r="26" spans="3:12">
      <c r="C26">
        <v>2040.9895825963299</v>
      </c>
      <c r="D26">
        <v>188.083522973665</v>
      </c>
      <c r="E26">
        <v>2041.0706747025999</v>
      </c>
      <c r="F26">
        <v>149.654782160049</v>
      </c>
      <c r="G26">
        <v>2047.8281926745401</v>
      </c>
      <c r="H26">
        <v>95.619965894940094</v>
      </c>
      <c r="I26">
        <v>2035.2373297356201</v>
      </c>
      <c r="J26">
        <v>126.768263828326</v>
      </c>
      <c r="K26">
        <v>2035.2582705554</v>
      </c>
      <c r="L26">
        <v>81.553023769114901</v>
      </c>
    </row>
    <row r="27" spans="3:12">
      <c r="C27">
        <v>2041.8006303171601</v>
      </c>
      <c r="D27">
        <v>188.546782869129</v>
      </c>
      <c r="E27">
        <v>2041.8818120108999</v>
      </c>
      <c r="F27">
        <v>149.649798213455</v>
      </c>
      <c r="G27">
        <v>2049.6792181813998</v>
      </c>
      <c r="H27">
        <v>92.711678841903705</v>
      </c>
      <c r="I27">
        <v>2036.0610252506699</v>
      </c>
      <c r="J27">
        <v>125.361163897777</v>
      </c>
      <c r="K27">
        <v>2036.06959012786</v>
      </c>
      <c r="L27">
        <v>80.595405799021705</v>
      </c>
    </row>
    <row r="28" spans="3:12">
      <c r="C28">
        <v>2042.6116595026399</v>
      </c>
      <c r="D28">
        <v>189.106920800881</v>
      </c>
      <c r="E28">
        <v>2042.69291533774</v>
      </c>
      <c r="F28">
        <v>149.82242400005401</v>
      </c>
      <c r="I28">
        <v>2036.87240042914</v>
      </c>
      <c r="J28">
        <v>124.11291181882</v>
      </c>
      <c r="K28">
        <v>2036.88094986022</v>
      </c>
      <c r="L28">
        <v>79.427885416971407</v>
      </c>
    </row>
    <row r="29" spans="3:12">
      <c r="C29">
        <v>2043.42271340192</v>
      </c>
      <c r="D29">
        <v>189.53788801758199</v>
      </c>
      <c r="E29">
        <v>2043.50405264603</v>
      </c>
      <c r="F29">
        <v>149.81744005345999</v>
      </c>
      <c r="I29">
        <v>2037.6837408569299</v>
      </c>
      <c r="J29">
        <v>123.04628997589199</v>
      </c>
      <c r="K29">
        <v>2037.69225089734</v>
      </c>
      <c r="L29">
        <v>78.5671454831662</v>
      </c>
    </row>
    <row r="30" spans="3:12">
      <c r="C30">
        <v>2044.2337642119601</v>
      </c>
      <c r="D30">
        <v>189.98500157366399</v>
      </c>
      <c r="E30">
        <v>2044.31518995433</v>
      </c>
      <c r="F30">
        <v>149.812456106865</v>
      </c>
      <c r="I30">
        <v>2038.4950627493899</v>
      </c>
      <c r="J30">
        <v>122.076546169251</v>
      </c>
      <c r="K30">
        <v>2038.5035890051299</v>
      </c>
      <c r="L30">
        <v>77.5126494767851</v>
      </c>
    </row>
    <row r="31" spans="3:12">
      <c r="C31">
        <v>2045.04481502201</v>
      </c>
      <c r="D31">
        <v>190.43211512974699</v>
      </c>
      <c r="E31">
        <v>2045.12632726262</v>
      </c>
      <c r="F31">
        <v>149.80747216027001</v>
      </c>
      <c r="I31">
        <v>2039.3064780877601</v>
      </c>
      <c r="J31">
        <v>120.61839167833701</v>
      </c>
      <c r="K31">
        <v>2039.31492711293</v>
      </c>
      <c r="L31">
        <v>76.458153470404</v>
      </c>
    </row>
    <row r="32" spans="3:12">
      <c r="C32">
        <v>2045.8558936350701</v>
      </c>
      <c r="D32">
        <v>190.73391163139701</v>
      </c>
      <c r="E32">
        <v>2045.9374645709199</v>
      </c>
      <c r="F32">
        <v>149.80248821367499</v>
      </c>
      <c r="I32">
        <v>2040.1178965153599</v>
      </c>
      <c r="J32">
        <v>119.144090848041</v>
      </c>
      <c r="K32">
        <v>2040.12627448839</v>
      </c>
      <c r="L32">
        <v>75.355218445878904</v>
      </c>
    </row>
    <row r="33" spans="3:12">
      <c r="C33">
        <v>2046.6669876942401</v>
      </c>
      <c r="D33">
        <v>190.95497643614101</v>
      </c>
      <c r="E33">
        <v>2046.74862041455</v>
      </c>
      <c r="F33">
        <v>149.70062623079301</v>
      </c>
      <c r="I33">
        <v>2040.9291512141299</v>
      </c>
      <c r="J33">
        <v>118.525546004956</v>
      </c>
      <c r="K33">
        <v>2040.9376249530801</v>
      </c>
      <c r="L33">
        <v>74.236137081972501</v>
      </c>
    </row>
    <row r="34" spans="3:12">
      <c r="C34">
        <v>2047.4780817534099</v>
      </c>
      <c r="D34">
        <v>191.17604124088501</v>
      </c>
      <c r="E34">
        <v>2047.55977316896</v>
      </c>
      <c r="F34">
        <v>149.61491058729101</v>
      </c>
      <c r="I34">
        <v>2041.74038737756</v>
      </c>
      <c r="J34">
        <v>118.003879198159</v>
      </c>
      <c r="K34">
        <v>2041.7489785069899</v>
      </c>
      <c r="L34">
        <v>73.100909378684705</v>
      </c>
    </row>
    <row r="35" spans="3:12">
      <c r="C35">
        <v>2048.2891510988002</v>
      </c>
      <c r="D35">
        <v>191.526276760679</v>
      </c>
      <c r="E35">
        <v>2048.3709104772602</v>
      </c>
      <c r="F35">
        <v>149.60992664069701</v>
      </c>
      <c r="I35">
        <v>2042.5516297194399</v>
      </c>
      <c r="J35">
        <v>117.449919712599</v>
      </c>
      <c r="K35">
        <v>2042.5603227932399</v>
      </c>
      <c r="L35">
        <v>72.014120693541003</v>
      </c>
    </row>
    <row r="36" spans="3:12">
      <c r="C36">
        <v>2049.1002447166502</v>
      </c>
      <c r="D36">
        <v>191.74964818533499</v>
      </c>
      <c r="E36">
        <v>2049.1820477855499</v>
      </c>
      <c r="F36">
        <v>149.60494269410199</v>
      </c>
      <c r="I36">
        <v>2043.36296782724</v>
      </c>
      <c r="J36">
        <v>116.395423706218</v>
      </c>
      <c r="K36">
        <v>2043.3716300087999</v>
      </c>
      <c r="L36">
        <v>71.121088080973195</v>
      </c>
    </row>
    <row r="37" spans="3:12">
      <c r="C37">
        <v>2049.6901588754499</v>
      </c>
      <c r="D37">
        <v>191.76632175212501</v>
      </c>
      <c r="E37">
        <v>2049.7350959503001</v>
      </c>
      <c r="F37">
        <v>149.60154454869601</v>
      </c>
      <c r="I37">
        <v>2044.1742781320299</v>
      </c>
      <c r="J37">
        <v>115.48624475426899</v>
      </c>
      <c r="K37">
        <v>2044.18297120582</v>
      </c>
      <c r="L37">
        <v>70.050445735210801</v>
      </c>
    </row>
    <row r="38" spans="3:12">
      <c r="I38">
        <v>2044.9854834032301</v>
      </c>
      <c r="J38">
        <v>115.126041341285</v>
      </c>
      <c r="K38">
        <v>2044.9943340274001</v>
      </c>
      <c r="L38">
        <v>68.866779013778995</v>
      </c>
    </row>
    <row r="39" spans="3:12">
      <c r="I39">
        <v>2045.7966454253101</v>
      </c>
      <c r="J39">
        <v>114.99188667963899</v>
      </c>
      <c r="K39">
        <v>2045.80573186018</v>
      </c>
      <c r="L39">
        <v>67.500120446025605</v>
      </c>
    </row>
    <row r="40" spans="3:12">
      <c r="I40">
        <v>2046.6077827336101</v>
      </c>
      <c r="J40">
        <v>114.986902733045</v>
      </c>
      <c r="K40">
        <v>2046.6171121873599</v>
      </c>
      <c r="L40">
        <v>66.224957801433007</v>
      </c>
    </row>
    <row r="41" spans="3:12">
      <c r="I41">
        <v>2047.4189200419</v>
      </c>
      <c r="J41">
        <v>114.98191878645</v>
      </c>
      <c r="K41">
        <v>2047.42847500894</v>
      </c>
      <c r="L41">
        <v>65.041291080001201</v>
      </c>
    </row>
    <row r="42" spans="3:12">
      <c r="I42">
        <v>2048.2300573501998</v>
      </c>
      <c r="J42">
        <v>114.97693483985501</v>
      </c>
      <c r="K42">
        <v>2048.2398378305202</v>
      </c>
      <c r="L42">
        <v>63.857624358569502</v>
      </c>
    </row>
    <row r="43" spans="3:12">
      <c r="I43">
        <v>2048.93058502554</v>
      </c>
      <c r="J43">
        <v>114.97263052234101</v>
      </c>
      <c r="K43">
        <v>2049.0512068305502</v>
      </c>
      <c r="L43">
        <v>62.641664958375102</v>
      </c>
    </row>
    <row r="44" spans="3:12">
      <c r="I44">
        <v>2049.92590181482</v>
      </c>
      <c r="J44">
        <v>115.854562526585</v>
      </c>
      <c r="K44">
        <v>2049.6781656876001</v>
      </c>
      <c r="L44">
        <v>61.744382947815403</v>
      </c>
    </row>
  </sheetData>
  <sortState xmlns:xlrd2="http://schemas.microsoft.com/office/spreadsheetml/2017/richdata2" ref="K2:L44">
    <sortCondition ref="K2:K44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75FE-6824-4B50-8095-BF7D5E741403}">
  <dimension ref="A1:J13"/>
  <sheetViews>
    <sheetView workbookViewId="0"/>
  </sheetViews>
  <sheetFormatPr defaultRowHeight="15"/>
  <cols>
    <col min="1" max="1" width="32.140625" customWidth="1"/>
    <col min="2" max="2" width="41.140625" customWidth="1"/>
    <col min="3" max="3" width="30.85546875" customWidth="1"/>
    <col min="4" max="4" width="39.140625" customWidth="1"/>
    <col min="5" max="5" width="43.7109375" customWidth="1"/>
    <col min="6" max="6" width="37.5703125" customWidth="1"/>
    <col min="7" max="7" width="35.7109375" customWidth="1"/>
    <col min="8" max="8" width="43.42578125" customWidth="1"/>
    <col min="9" max="9" width="29.85546875" customWidth="1"/>
    <col min="10" max="10" width="22.140625" customWidth="1"/>
  </cols>
  <sheetData>
    <row r="1" spans="1:10" ht="14.25">
      <c r="A1" t="s">
        <v>0</v>
      </c>
      <c r="B1" t="s">
        <v>1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</row>
    <row r="2" spans="1:10" ht="14.25">
      <c r="A2" t="s">
        <v>109</v>
      </c>
      <c r="B2">
        <v>1995</v>
      </c>
      <c r="C2">
        <v>4.92116868798235</v>
      </c>
      <c r="D2">
        <v>2.0904079382579503</v>
      </c>
      <c r="E2">
        <v>2.2646085997795389</v>
      </c>
      <c r="F2">
        <v>2.5259095920612609</v>
      </c>
      <c r="J2">
        <v>1.1979051819188999</v>
      </c>
    </row>
    <row r="3" spans="1:10" ht="14.25">
      <c r="A3" t="s">
        <v>109</v>
      </c>
      <c r="B3">
        <v>2010</v>
      </c>
      <c r="C3">
        <v>6.92447629547961</v>
      </c>
      <c r="D3">
        <v>5.0953693495026906</v>
      </c>
      <c r="E3">
        <v>2.4388092613020991</v>
      </c>
      <c r="F3">
        <v>3.3533627342888987</v>
      </c>
      <c r="J3">
        <v>1.1879823594267016</v>
      </c>
    </row>
    <row r="4" spans="1:10" ht="14.25">
      <c r="A4" t="s">
        <v>109</v>
      </c>
      <c r="B4">
        <v>2023</v>
      </c>
      <c r="C4">
        <v>8.7535832414553401</v>
      </c>
      <c r="D4">
        <v>6.2712238147724602</v>
      </c>
      <c r="E4">
        <v>2.613009922823899</v>
      </c>
      <c r="F4">
        <v>4.3550165380375994</v>
      </c>
      <c r="I4">
        <v>4.311466372657101</v>
      </c>
      <c r="J4">
        <v>1.6957001102536005</v>
      </c>
    </row>
    <row r="5" spans="1:10" ht="14.25">
      <c r="A5" t="s">
        <v>123</v>
      </c>
      <c r="B5">
        <v>2030</v>
      </c>
      <c r="C5">
        <v>8.0567805953693394</v>
      </c>
      <c r="D5">
        <v>6.4454244762954609</v>
      </c>
      <c r="E5">
        <v>3.3969128996692994</v>
      </c>
      <c r="F5">
        <v>4.6163175303195985</v>
      </c>
      <c r="G5">
        <v>1.6984564498347012</v>
      </c>
      <c r="H5">
        <v>0.34840132304299942</v>
      </c>
      <c r="I5">
        <v>6.3583241455347022</v>
      </c>
      <c r="J5">
        <v>1.079382579933899</v>
      </c>
    </row>
    <row r="6" spans="1:10" ht="14.25">
      <c r="A6" t="s">
        <v>124</v>
      </c>
      <c r="B6">
        <v>2030</v>
      </c>
      <c r="C6">
        <v>7.7519294377067496</v>
      </c>
      <c r="D6">
        <v>6.4889746416758509</v>
      </c>
      <c r="E6">
        <v>3.4404630650496006</v>
      </c>
      <c r="F6">
        <v>4.7469680264607987</v>
      </c>
      <c r="G6">
        <v>3.3533627342889005</v>
      </c>
      <c r="H6">
        <v>0.78390297684670074</v>
      </c>
      <c r="I6">
        <v>5.3131201764057003</v>
      </c>
      <c r="J6">
        <v>1.1212789415656985</v>
      </c>
    </row>
    <row r="7" spans="1:10" ht="14.25">
      <c r="A7" t="s">
        <v>125</v>
      </c>
      <c r="B7">
        <v>2030</v>
      </c>
      <c r="C7">
        <v>6.8809261300992102</v>
      </c>
      <c r="D7">
        <v>7.0115766262402897</v>
      </c>
      <c r="E7">
        <v>3.4840132304300013</v>
      </c>
      <c r="F7">
        <v>4.7905181918411976</v>
      </c>
      <c r="G7">
        <v>4.1372657111357007</v>
      </c>
      <c r="H7">
        <v>0.87100330760750211</v>
      </c>
      <c r="I7">
        <v>7.4035281146636969</v>
      </c>
      <c r="J7">
        <v>1.4211686879824015</v>
      </c>
    </row>
    <row r="8" spans="1:10" ht="14.25">
      <c r="A8" t="s">
        <v>123</v>
      </c>
      <c r="B8">
        <v>2040</v>
      </c>
      <c r="C8">
        <v>5.0082690187431202</v>
      </c>
      <c r="D8">
        <v>6.8809261300992803</v>
      </c>
      <c r="E8">
        <v>4.3114663726569979</v>
      </c>
      <c r="F8">
        <v>5.3566703417861028</v>
      </c>
      <c r="G8">
        <v>5.7050716648290987</v>
      </c>
      <c r="H8">
        <v>4.5292171995589996</v>
      </c>
      <c r="I8">
        <v>9.9729878721058007</v>
      </c>
      <c r="J8">
        <v>0.23539140022059968</v>
      </c>
    </row>
    <row r="9" spans="1:10" ht="14.25">
      <c r="A9" t="s">
        <v>124</v>
      </c>
      <c r="B9">
        <v>2040</v>
      </c>
      <c r="C9">
        <v>4.79051819184129</v>
      </c>
      <c r="D9">
        <v>6.4454244762955106</v>
      </c>
      <c r="E9">
        <v>4.7034178610803998</v>
      </c>
      <c r="F9">
        <v>5.4873208379272</v>
      </c>
      <c r="G9">
        <v>8.274531422271199</v>
      </c>
      <c r="H9">
        <v>5.4437706725468971</v>
      </c>
      <c r="I9">
        <v>12.977949283351705</v>
      </c>
      <c r="J9">
        <v>1.877067254685798</v>
      </c>
    </row>
    <row r="10" spans="1:10" ht="14.25">
      <c r="A10" t="s">
        <v>125</v>
      </c>
      <c r="B10">
        <v>2040</v>
      </c>
      <c r="C10">
        <v>4.0501653803748896</v>
      </c>
      <c r="D10">
        <v>5.0953693495038097</v>
      </c>
      <c r="E10">
        <v>6.7938257993385012</v>
      </c>
      <c r="F10">
        <v>5.4437706725468011</v>
      </c>
      <c r="G10">
        <v>11.061742006615198</v>
      </c>
      <c r="H10">
        <v>6.5325248070561983</v>
      </c>
      <c r="I10">
        <v>17.42006615215</v>
      </c>
      <c r="J10">
        <v>1.6025358324146026</v>
      </c>
    </row>
    <row r="11" spans="1:10" ht="14.25">
      <c r="A11" t="s">
        <v>123</v>
      </c>
      <c r="B11">
        <v>2050</v>
      </c>
      <c r="C11">
        <v>5.0953693495038896</v>
      </c>
      <c r="D11">
        <v>8.3616317530319115</v>
      </c>
      <c r="E11">
        <v>5.9663726571112985</v>
      </c>
      <c r="F11">
        <v>5.5308710033076025</v>
      </c>
      <c r="G11">
        <v>12.890848952591</v>
      </c>
      <c r="H11">
        <v>3.0049614112459011</v>
      </c>
      <c r="I11">
        <v>16.026460859977895</v>
      </c>
      <c r="J11">
        <v>2.1234840132305024</v>
      </c>
    </row>
    <row r="12" spans="1:10" ht="14.25">
      <c r="A12" t="s">
        <v>124</v>
      </c>
      <c r="B12">
        <v>2050</v>
      </c>
      <c r="C12">
        <v>4.3114663726571196</v>
      </c>
      <c r="D12">
        <v>7.0115766262402799</v>
      </c>
      <c r="E12">
        <v>6.8373759647187988</v>
      </c>
      <c r="F12">
        <v>5.6179713340684003</v>
      </c>
      <c r="G12">
        <v>17.768467475193003</v>
      </c>
      <c r="H12">
        <v>3.9195148842336991</v>
      </c>
      <c r="I12">
        <v>22.123484013230403</v>
      </c>
      <c r="J12">
        <v>2.4101433296582968</v>
      </c>
    </row>
    <row r="13" spans="1:10" ht="14.25">
      <c r="A13" t="s">
        <v>125</v>
      </c>
      <c r="B13">
        <v>2050</v>
      </c>
      <c r="C13">
        <v>1.2629547960308201</v>
      </c>
      <c r="D13">
        <v>3.2662624035282</v>
      </c>
      <c r="E13">
        <v>10.321389195148779</v>
      </c>
      <c r="F13">
        <v>5.4873208379272</v>
      </c>
      <c r="G13">
        <v>20.991179713340703</v>
      </c>
      <c r="H13">
        <v>5.4002205071664946</v>
      </c>
      <c r="I13">
        <v>30.136714443219397</v>
      </c>
      <c r="J13">
        <v>2.1339581036384061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70835-afc4-4376-8ae0-1ffed5b27e6b" xsi:nil="true"/>
    <lcf76f155ced4ddcb4097134ff3c332f xmlns="b0bf4113-6f4a-4f3e-b5bb-503c4d9102e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70033F315F542A2D9640B7CC02236" ma:contentTypeVersion="16" ma:contentTypeDescription="Create a new document." ma:contentTypeScope="" ma:versionID="94449e8ff35cec47b43afd2e381d9e90">
  <xsd:schema xmlns:xsd="http://www.w3.org/2001/XMLSchema" xmlns:xs="http://www.w3.org/2001/XMLSchema" xmlns:p="http://schemas.microsoft.com/office/2006/metadata/properties" xmlns:ns2="b0bf4113-6f4a-4f3e-b5bb-503c4d9102e3" xmlns:ns3="c8670835-afc4-4376-8ae0-1ffed5b27e6b" targetNamespace="http://schemas.microsoft.com/office/2006/metadata/properties" ma:root="true" ma:fieldsID="f7f21ad7dc1dad656b5a5a7699096a32" ns2:_="" ns3:_="">
    <xsd:import namespace="b0bf4113-6f4a-4f3e-b5bb-503c4d9102e3"/>
    <xsd:import namespace="c8670835-afc4-4376-8ae0-1ffed5b27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f4113-6f4a-4f3e-b5bb-503c4d910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0835-afc4-4376-8ae0-1ffed5b27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85086d2-6a15-4a00-bd68-213e1ec481f2}" ma:internalName="TaxCatchAll" ma:showField="CatchAllData" ma:web="c8670835-afc4-4376-8ae0-1ffed5b27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9F0509-E5D2-4243-966D-365AE75FF403}"/>
</file>

<file path=customXml/itemProps2.xml><?xml version="1.0" encoding="utf-8"?>
<ds:datastoreItem xmlns:ds="http://schemas.openxmlformats.org/officeDocument/2006/customXml" ds:itemID="{05103F6B-01EE-4A96-B72D-D8D6B2D4BB45}"/>
</file>

<file path=customXml/itemProps3.xml><?xml version="1.0" encoding="utf-8"?>
<ds:datastoreItem xmlns:ds="http://schemas.openxmlformats.org/officeDocument/2006/customXml" ds:itemID="{B91EFA78-EAE5-417D-A782-785158D287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Frederick Schindlegger</cp:lastModifiedBy>
  <cp:revision/>
  <dcterms:created xsi:type="dcterms:W3CDTF">2025-06-23T13:36:07Z</dcterms:created>
  <dcterms:modified xsi:type="dcterms:W3CDTF">2025-06-26T22:22:21Z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0x01010098970033F315F542A2D9640B7CC02236</vt:lpwstr>
  </property>
  <property fmtid="{D5CDD505-2E9C-101B-9397-08002B2CF9AE}" pid="3" name="MediaServiceImageTags">
    <vt:lpwstr/>
  </property>
</Properties>
</file>